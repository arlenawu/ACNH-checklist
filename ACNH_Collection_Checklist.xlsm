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ppyful\Saved Games\"/>
    </mc:Choice>
  </mc:AlternateContent>
  <xr:revisionPtr revIDLastSave="0" documentId="13_ncr:1_{366BC9D3-4B1A-45ED-B33A-782E9E35D495}" xr6:coauthVersionLast="47" xr6:coauthVersionMax="47" xr10:uidLastSave="{00000000-0000-0000-0000-000000000000}"/>
  <bookViews>
    <workbookView xWindow="7050" yWindow="5670" windowWidth="20835" windowHeight="14340" xr2:uid="{ED3B2C2B-F7C1-42E1-9EA6-DEBA2639CF0C}"/>
  </bookViews>
  <sheets>
    <sheet name="Welcome" sheetId="10" r:id="rId1"/>
    <sheet name="Bugs" sheetId="5" r:id="rId2"/>
    <sheet name="Fish" sheetId="3" r:id="rId3"/>
    <sheet name="Sea Creatures" sheetId="6" r:id="rId4"/>
    <sheet name="Art" sheetId="9" r:id="rId5"/>
    <sheet name="Dropdowns" sheetId="11" state="hidden" r:id="rId6"/>
  </sheets>
  <definedNames>
    <definedName name="_xlnm._FilterDatabase" localSheetId="4" hidden="1">Art!$E$2:$F$15</definedName>
    <definedName name="_xlnm._FilterDatabase" localSheetId="1" hidden="1">Bugs!$A$4:$AN$84</definedName>
    <definedName name="_xlnm._FilterDatabase" localSheetId="2" hidden="1">Fish!$A$4:$AO$84</definedName>
    <definedName name="_xlnm._FilterDatabase" localSheetId="3" hidden="1">'Sea Creatures'!$A$4:$AM$44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2" i="6" l="1"/>
  <c r="AG2" i="3"/>
  <c r="Z2" i="3"/>
  <c r="AF2" i="5"/>
  <c r="C1" i="5"/>
  <c r="Y2" i="5"/>
  <c r="K2" i="6"/>
  <c r="K1" i="6"/>
  <c r="E1" i="3"/>
  <c r="C1" i="6"/>
  <c r="C1" i="3"/>
  <c r="X2" i="6"/>
  <c r="E2" i="6"/>
  <c r="G2" i="3"/>
  <c r="E2" i="3"/>
  <c r="AN84" i="3" l="1"/>
  <c r="AO6" i="3"/>
  <c r="AN9" i="3"/>
  <c r="AM9" i="3" s="1"/>
  <c r="AN11" i="3"/>
  <c r="AM11" i="3" s="1"/>
  <c r="AN13" i="3"/>
  <c r="AN15" i="3"/>
  <c r="AN17" i="3"/>
  <c r="AN19" i="3"/>
  <c r="AN21" i="3"/>
  <c r="AN23" i="3"/>
  <c r="AN25" i="3"/>
  <c r="AM25" i="3" s="1"/>
  <c r="AN27" i="3"/>
  <c r="AM27" i="3" s="1"/>
  <c r="AN29" i="3"/>
  <c r="AN31" i="3"/>
  <c r="AN33" i="3"/>
  <c r="AN35" i="3"/>
  <c r="AN37" i="3"/>
  <c r="AN39" i="3"/>
  <c r="AN41" i="3"/>
  <c r="AM41" i="3" s="1"/>
  <c r="AN43" i="3"/>
  <c r="AN45" i="3"/>
  <c r="AN47" i="3"/>
  <c r="AN49" i="3"/>
  <c r="AM49" i="3" s="1"/>
  <c r="AN51" i="3"/>
  <c r="AN53" i="3"/>
  <c r="AN55" i="3"/>
  <c r="AN57" i="3"/>
  <c r="AM57" i="3" s="1"/>
  <c r="AN59" i="3"/>
  <c r="AM59" i="3" s="1"/>
  <c r="AO61" i="3"/>
  <c r="AO64" i="3"/>
  <c r="AO67" i="3"/>
  <c r="AN70" i="3"/>
  <c r="AM70" i="3" s="1"/>
  <c r="AN73" i="3"/>
  <c r="AO75" i="3"/>
  <c r="AN78" i="3"/>
  <c r="AN81" i="3"/>
  <c r="AO83" i="3"/>
  <c r="AM40" i="6"/>
  <c r="AM34" i="6"/>
  <c r="AM20" i="6"/>
  <c r="AM10" i="6"/>
  <c r="AM30" i="6"/>
  <c r="AM37" i="6"/>
  <c r="AM35" i="6"/>
  <c r="AM14" i="6"/>
  <c r="AM24" i="6"/>
  <c r="AM38" i="6"/>
  <c r="AL39" i="6"/>
  <c r="AL21" i="6"/>
  <c r="AL27" i="6"/>
  <c r="AL26" i="6"/>
  <c r="AL22" i="6"/>
  <c r="AL31" i="6"/>
  <c r="AL5" i="6"/>
  <c r="AL9" i="6"/>
  <c r="AL18" i="6"/>
  <c r="AK18" i="6" s="1"/>
  <c r="AL36" i="6"/>
  <c r="AM43" i="6"/>
  <c r="AM16" i="6"/>
  <c r="AM33" i="6"/>
  <c r="AM25" i="6"/>
  <c r="AM11" i="6"/>
  <c r="AM8" i="6"/>
  <c r="AM44" i="6"/>
  <c r="AM6" i="6"/>
  <c r="AM15" i="6"/>
  <c r="AM32" i="6"/>
  <c r="AL13" i="6"/>
  <c r="AK13" i="6" s="1"/>
  <c r="AL28" i="6"/>
  <c r="AL23" i="6"/>
  <c r="AL42" i="6"/>
  <c r="AL7" i="6"/>
  <c r="AK7" i="6" s="1"/>
  <c r="AL29" i="6"/>
  <c r="AL17" i="6"/>
  <c r="AL12" i="6"/>
  <c r="AL19" i="6"/>
  <c r="AL41" i="6"/>
  <c r="AM39" i="6"/>
  <c r="AM21" i="6"/>
  <c r="AM27" i="6"/>
  <c r="AK27" i="6" s="1"/>
  <c r="AM26" i="6"/>
  <c r="AM22" i="6"/>
  <c r="AM31" i="6"/>
  <c r="AM5" i="6"/>
  <c r="AK5" i="6" s="1"/>
  <c r="AM9" i="6"/>
  <c r="AM18" i="6"/>
  <c r="AM36" i="6"/>
  <c r="AL40" i="6"/>
  <c r="AK40" i="6" s="1"/>
  <c r="AL34" i="6"/>
  <c r="AL20" i="6"/>
  <c r="AL10" i="6"/>
  <c r="AL30" i="6"/>
  <c r="AK30" i="6" s="1"/>
  <c r="AL37" i="6"/>
  <c r="AL35" i="6"/>
  <c r="AL14" i="6"/>
  <c r="AL24" i="6"/>
  <c r="AK24" i="6" s="1"/>
  <c r="AL38" i="6"/>
  <c r="AK38" i="6" s="1"/>
  <c r="AM13" i="6"/>
  <c r="AM28" i="6"/>
  <c r="AM23" i="6"/>
  <c r="AK23" i="6" s="1"/>
  <c r="AM42" i="6"/>
  <c r="AM7" i="6"/>
  <c r="AM29" i="6"/>
  <c r="AM17" i="6"/>
  <c r="AM12" i="6"/>
  <c r="AM19" i="6"/>
  <c r="AM41" i="6"/>
  <c r="AL43" i="6"/>
  <c r="AK43" i="6" s="1"/>
  <c r="AL16" i="6"/>
  <c r="AL33" i="6"/>
  <c r="AL25" i="6"/>
  <c r="AL11" i="6"/>
  <c r="AK11" i="6" s="1"/>
  <c r="AL8" i="6"/>
  <c r="AK8" i="6" s="1"/>
  <c r="AL44" i="6"/>
  <c r="AL6" i="6"/>
  <c r="AL15" i="6"/>
  <c r="AK15" i="6" s="1"/>
  <c r="AL32" i="6"/>
  <c r="AK32" i="6" s="1"/>
  <c r="AN7" i="3"/>
  <c r="AO9" i="3"/>
  <c r="AO11" i="3"/>
  <c r="AO13" i="3"/>
  <c r="AM13" i="3" s="1"/>
  <c r="AO15" i="3"/>
  <c r="AO17" i="3"/>
  <c r="AM17" i="3" s="1"/>
  <c r="AO19" i="3"/>
  <c r="AM19" i="3" s="1"/>
  <c r="AO21" i="3"/>
  <c r="AM21" i="3" s="1"/>
  <c r="AO23" i="3"/>
  <c r="AO25" i="3"/>
  <c r="AO27" i="3"/>
  <c r="AO29" i="3"/>
  <c r="AM29" i="3" s="1"/>
  <c r="AO31" i="3"/>
  <c r="AO33" i="3"/>
  <c r="AM33" i="3" s="1"/>
  <c r="AO35" i="3"/>
  <c r="AM35" i="3" s="1"/>
  <c r="AO37" i="3"/>
  <c r="AM37" i="3" s="1"/>
  <c r="AO39" i="3"/>
  <c r="AO41" i="3"/>
  <c r="AO43" i="3"/>
  <c r="AM43" i="3" s="1"/>
  <c r="AO45" i="3"/>
  <c r="AM45" i="3" s="1"/>
  <c r="AO47" i="3"/>
  <c r="AM47" i="3" s="1"/>
  <c r="AO49" i="3"/>
  <c r="AO51" i="3"/>
  <c r="AM51" i="3" s="1"/>
  <c r="AO53" i="3"/>
  <c r="AM53" i="3" s="1"/>
  <c r="AO55" i="3"/>
  <c r="AM55" i="3" s="1"/>
  <c r="AO57" i="3"/>
  <c r="AO59" i="3"/>
  <c r="AO62" i="3"/>
  <c r="AN65" i="3"/>
  <c r="AN68" i="3"/>
  <c r="AN71" i="3"/>
  <c r="AO73" i="3"/>
  <c r="AM73" i="3" s="1"/>
  <c r="AN76" i="3"/>
  <c r="AN79" i="3"/>
  <c r="AO81" i="3"/>
  <c r="AM81" i="3" s="1"/>
  <c r="AO84" i="3"/>
  <c r="AM84" i="3" s="1"/>
  <c r="AO82" i="3"/>
  <c r="AO80" i="3"/>
  <c r="AO78" i="3"/>
  <c r="AM78" i="3" s="1"/>
  <c r="AO76" i="3"/>
  <c r="AO74" i="3"/>
  <c r="AO72" i="3"/>
  <c r="AO70" i="3"/>
  <c r="AO68" i="3"/>
  <c r="AN66" i="3"/>
  <c r="AN64" i="3"/>
  <c r="AM64" i="3" s="1"/>
  <c r="AN62" i="3"/>
  <c r="AN60" i="3"/>
  <c r="AM60" i="3" s="1"/>
  <c r="AO5" i="3"/>
  <c r="AN5" i="3"/>
  <c r="AO8" i="3"/>
  <c r="AO7" i="3"/>
  <c r="AN10" i="3"/>
  <c r="AN12" i="3"/>
  <c r="AN14" i="3"/>
  <c r="AN16" i="3"/>
  <c r="AN18" i="3"/>
  <c r="AM18" i="3" s="1"/>
  <c r="AN20" i="3"/>
  <c r="AN22" i="3"/>
  <c r="AN24" i="3"/>
  <c r="AN26" i="3"/>
  <c r="AN28" i="3"/>
  <c r="AN30" i="3"/>
  <c r="AN32" i="3"/>
  <c r="AN34" i="3"/>
  <c r="AN36" i="3"/>
  <c r="AN38" i="3"/>
  <c r="AN40" i="3"/>
  <c r="AN42" i="3"/>
  <c r="AN44" i="3"/>
  <c r="AN46" i="3"/>
  <c r="AN48" i="3"/>
  <c r="AN50" i="3"/>
  <c r="AN52" i="3"/>
  <c r="AN54" i="3"/>
  <c r="AN56" i="3"/>
  <c r="AN58" i="3"/>
  <c r="AO60" i="3"/>
  <c r="AN63" i="3"/>
  <c r="AO65" i="3"/>
  <c r="AN69" i="3"/>
  <c r="AO71" i="3"/>
  <c r="AN74" i="3"/>
  <c r="AN77" i="3"/>
  <c r="AO79" i="3"/>
  <c r="AN82" i="3"/>
  <c r="AN67" i="3"/>
  <c r="AM67" i="3" s="1"/>
  <c r="AN6" i="3"/>
  <c r="AM6" i="3" s="1"/>
  <c r="AN8" i="3"/>
  <c r="AO10" i="3"/>
  <c r="AO12" i="3"/>
  <c r="AM12" i="3" s="1"/>
  <c r="AO14" i="3"/>
  <c r="AO16" i="3"/>
  <c r="AO18" i="3"/>
  <c r="AO20" i="3"/>
  <c r="AM20" i="3" s="1"/>
  <c r="AO22" i="3"/>
  <c r="AO24" i="3"/>
  <c r="AO26" i="3"/>
  <c r="AO28" i="3"/>
  <c r="AM28" i="3" s="1"/>
  <c r="AO30" i="3"/>
  <c r="AO32" i="3"/>
  <c r="AO34" i="3"/>
  <c r="AO36" i="3"/>
  <c r="AM36" i="3" s="1"/>
  <c r="AO38" i="3"/>
  <c r="AO40" i="3"/>
  <c r="AO42" i="3"/>
  <c r="AO44" i="3"/>
  <c r="AM44" i="3" s="1"/>
  <c r="AO46" i="3"/>
  <c r="AO48" i="3"/>
  <c r="AO50" i="3"/>
  <c r="AO52" i="3"/>
  <c r="AM52" i="3" s="1"/>
  <c r="AO54" i="3"/>
  <c r="AO56" i="3"/>
  <c r="AO58" i="3"/>
  <c r="AN61" i="3"/>
  <c r="AO63" i="3"/>
  <c r="AO66" i="3"/>
  <c r="AM66" i="3" s="1"/>
  <c r="AO69" i="3"/>
  <c r="AN72" i="3"/>
  <c r="AM72" i="3" s="1"/>
  <c r="AN75" i="3"/>
  <c r="AM75" i="3" s="1"/>
  <c r="AO77" i="3"/>
  <c r="AN80" i="3"/>
  <c r="AM80" i="3" s="1"/>
  <c r="AN83" i="3"/>
  <c r="AK17" i="6"/>
  <c r="AK44" i="6"/>
  <c r="AK33" i="6"/>
  <c r="AK16" i="6"/>
  <c r="AK37" i="6"/>
  <c r="AK20" i="6"/>
  <c r="AK34" i="6"/>
  <c r="AK36" i="6"/>
  <c r="AK35" i="6"/>
  <c r="AK29" i="6"/>
  <c r="AK28" i="6"/>
  <c r="AM39" i="3"/>
  <c r="AM31" i="3"/>
  <c r="AM23" i="3"/>
  <c r="AM15" i="3"/>
  <c r="AM50" i="3"/>
  <c r="AM10" i="3"/>
  <c r="D1" i="5"/>
  <c r="D2" i="5"/>
  <c r="F2" i="5"/>
  <c r="AN60" i="5" s="1"/>
  <c r="H16" i="10"/>
  <c r="H15" i="10"/>
  <c r="I16" i="10"/>
  <c r="I15" i="10"/>
  <c r="D12" i="10"/>
  <c r="AK31" i="6" l="1"/>
  <c r="AK21" i="6"/>
  <c r="AM81" i="5"/>
  <c r="AL81" i="5" s="1"/>
  <c r="AM42" i="3"/>
  <c r="AM34" i="3"/>
  <c r="AM26" i="3"/>
  <c r="AM65" i="3"/>
  <c r="AM7" i="3"/>
  <c r="AK41" i="6"/>
  <c r="AM77" i="3"/>
  <c r="AM56" i="3"/>
  <c r="AM48" i="3"/>
  <c r="AM40" i="3"/>
  <c r="AM32" i="3"/>
  <c r="AM24" i="3"/>
  <c r="AM16" i="3"/>
  <c r="AM79" i="3"/>
  <c r="AM5" i="3"/>
  <c r="AK19" i="6"/>
  <c r="AK22" i="6"/>
  <c r="AK39" i="6"/>
  <c r="AM68" i="3"/>
  <c r="AK12" i="6"/>
  <c r="AK42" i="6"/>
  <c r="AK9" i="6"/>
  <c r="AK26" i="6"/>
  <c r="AM69" i="3"/>
  <c r="AM58" i="3"/>
  <c r="AM71" i="3"/>
  <c r="AM63" i="3"/>
  <c r="AM54" i="3"/>
  <c r="AM46" i="3"/>
  <c r="AM38" i="3"/>
  <c r="AM30" i="3"/>
  <c r="AM22" i="3"/>
  <c r="AM14" i="3"/>
  <c r="AM76" i="3"/>
  <c r="AM62" i="3"/>
  <c r="AK6" i="6"/>
  <c r="AK25" i="6"/>
  <c r="AK14" i="6"/>
  <c r="AK10" i="6"/>
  <c r="AM83" i="3"/>
  <c r="AM61" i="3"/>
  <c r="AM8" i="3"/>
  <c r="AM74" i="3"/>
  <c r="AM82" i="3"/>
  <c r="AN55" i="5"/>
  <c r="AM61" i="5"/>
  <c r="AM8" i="5"/>
  <c r="AN12" i="5"/>
  <c r="AN83" i="5"/>
  <c r="AN84" i="5"/>
  <c r="AN54" i="5"/>
  <c r="AN28" i="5"/>
  <c r="AN48" i="5"/>
  <c r="AN14" i="5"/>
  <c r="AN74" i="5"/>
  <c r="AM67" i="5"/>
  <c r="AM31" i="5"/>
  <c r="AM50" i="5"/>
  <c r="AM18" i="5"/>
  <c r="AM76" i="5"/>
  <c r="AN64" i="5"/>
  <c r="AN25" i="5"/>
  <c r="AN47" i="5"/>
  <c r="AN11" i="5"/>
  <c r="AN73" i="5"/>
  <c r="AM39" i="5"/>
  <c r="AM77" i="5"/>
  <c r="AM17" i="5"/>
  <c r="AM74" i="5"/>
  <c r="AM48" i="5"/>
  <c r="AM65" i="5"/>
  <c r="AN17" i="5"/>
  <c r="AM43" i="5"/>
  <c r="AM59" i="5"/>
  <c r="AM7" i="5"/>
  <c r="AM10" i="5"/>
  <c r="AM45" i="5"/>
  <c r="AN56" i="5"/>
  <c r="AN42" i="5"/>
  <c r="AN40" i="5"/>
  <c r="AM20" i="5"/>
  <c r="AN13" i="5"/>
  <c r="AM55" i="5"/>
  <c r="AM84" i="5"/>
  <c r="AM40" i="5"/>
  <c r="AM54" i="5"/>
  <c r="AN71" i="5"/>
  <c r="AN35" i="5"/>
  <c r="AN62" i="5"/>
  <c r="AN27" i="5"/>
  <c r="AN82" i="5"/>
  <c r="AN34" i="5"/>
  <c r="AN58" i="5"/>
  <c r="AN26" i="5"/>
  <c r="AN81" i="5"/>
  <c r="AN22" i="5"/>
  <c r="AN44" i="5"/>
  <c r="AN7" i="5"/>
  <c r="AN29" i="5"/>
  <c r="AM63" i="5"/>
  <c r="AM24" i="5"/>
  <c r="AM46" i="5"/>
  <c r="AM9" i="5"/>
  <c r="AM72" i="5"/>
  <c r="AN59" i="5"/>
  <c r="AN21" i="5"/>
  <c r="AN43" i="5"/>
  <c r="AN6" i="5"/>
  <c r="AN5" i="5"/>
  <c r="AM11" i="5"/>
  <c r="AM25" i="5"/>
  <c r="AN33" i="5"/>
  <c r="AM41" i="5"/>
  <c r="AM78" i="5"/>
  <c r="AN15" i="5"/>
  <c r="AM79" i="5"/>
  <c r="AM52" i="5"/>
  <c r="AM68" i="5"/>
  <c r="AM22" i="5"/>
  <c r="AM23" i="5"/>
  <c r="AM51" i="5"/>
  <c r="AM5" i="5"/>
  <c r="AN66" i="5"/>
  <c r="AM33" i="5"/>
  <c r="AM29" i="5"/>
  <c r="AM44" i="5"/>
  <c r="AM60" i="5"/>
  <c r="AL60" i="5" s="1"/>
  <c r="AM70" i="5"/>
  <c r="AM34" i="5"/>
  <c r="AM58" i="5"/>
  <c r="AM26" i="5"/>
  <c r="AN67" i="5"/>
  <c r="AN31" i="5"/>
  <c r="AN50" i="5"/>
  <c r="AL50" i="5" s="1"/>
  <c r="AN18" i="5"/>
  <c r="AN76" i="5"/>
  <c r="AN30" i="5"/>
  <c r="AN49" i="5"/>
  <c r="AN16" i="5"/>
  <c r="AN75" i="5"/>
  <c r="AN78" i="5"/>
  <c r="AL78" i="5" s="1"/>
  <c r="AN38" i="5"/>
  <c r="AN41" i="5"/>
  <c r="AM13" i="5"/>
  <c r="AM56" i="5"/>
  <c r="AM12" i="5"/>
  <c r="AM42" i="5"/>
  <c r="AM83" i="5"/>
  <c r="AM15" i="5"/>
  <c r="AN36" i="5"/>
  <c r="AN77" i="5"/>
  <c r="AN37" i="5"/>
  <c r="AN39" i="5"/>
  <c r="AL39" i="5" s="1"/>
  <c r="AN69" i="5"/>
  <c r="AM37" i="5"/>
  <c r="AM36" i="5"/>
  <c r="AN61" i="5"/>
  <c r="AL61" i="5" s="1"/>
  <c r="AM14" i="5"/>
  <c r="AM28" i="5"/>
  <c r="AN53" i="5"/>
  <c r="AM6" i="5"/>
  <c r="AM21" i="5"/>
  <c r="AN10" i="5"/>
  <c r="AL10" i="5" s="1"/>
  <c r="AM80" i="5"/>
  <c r="AM57" i="5"/>
  <c r="AM69" i="5"/>
  <c r="AM66" i="5"/>
  <c r="AM30" i="5"/>
  <c r="AM49" i="5"/>
  <c r="AM16" i="5"/>
  <c r="AM75" i="5"/>
  <c r="AN63" i="5"/>
  <c r="AN24" i="5"/>
  <c r="AN46" i="5"/>
  <c r="AL46" i="5" s="1"/>
  <c r="AN9" i="5"/>
  <c r="AN72" i="5"/>
  <c r="AN23" i="5"/>
  <c r="AN45" i="5"/>
  <c r="AN8" i="5"/>
  <c r="AN51" i="5"/>
  <c r="AN57" i="5"/>
  <c r="AL57" i="5" s="1"/>
  <c r="AN20" i="5"/>
  <c r="AN80" i="5"/>
  <c r="AM71" i="5"/>
  <c r="AM35" i="5"/>
  <c r="AM62" i="5"/>
  <c r="AM27" i="5"/>
  <c r="AM82" i="5"/>
  <c r="AN68" i="5"/>
  <c r="AL68" i="5" s="1"/>
  <c r="AN32" i="5"/>
  <c r="AN52" i="5"/>
  <c r="AN19" i="5"/>
  <c r="AN79" i="5"/>
  <c r="AM73" i="5"/>
  <c r="AM47" i="5"/>
  <c r="AM64" i="5"/>
  <c r="AN70" i="5"/>
  <c r="AM38" i="5"/>
  <c r="AM53" i="5"/>
  <c r="AN65" i="5"/>
  <c r="AM19" i="5"/>
  <c r="AM32" i="5"/>
  <c r="H13" i="10"/>
  <c r="I13" i="10"/>
  <c r="I12" i="10"/>
  <c r="AL51" i="5" l="1"/>
  <c r="AL72" i="5"/>
  <c r="AL63" i="5"/>
  <c r="AL76" i="5"/>
  <c r="AL67" i="5"/>
  <c r="AL65" i="5"/>
  <c r="AL59" i="5"/>
  <c r="AL8" i="5"/>
  <c r="AL9" i="5"/>
  <c r="AL77" i="5"/>
  <c r="AL18" i="5"/>
  <c r="AL17" i="5"/>
  <c r="AL70" i="5"/>
  <c r="AL79" i="5"/>
  <c r="AL52" i="5"/>
  <c r="AL20" i="5"/>
  <c r="AL45" i="5"/>
  <c r="AL43" i="5"/>
  <c r="AL23" i="5"/>
  <c r="AL24" i="5"/>
  <c r="AL31" i="5"/>
  <c r="AL30" i="5"/>
  <c r="AL7" i="5"/>
  <c r="AL26" i="5"/>
  <c r="AL80" i="5"/>
  <c r="AL41" i="5"/>
  <c r="AL19" i="5"/>
  <c r="AL53" i="5"/>
  <c r="AL37" i="5"/>
  <c r="AL75" i="5"/>
  <c r="AL5" i="5"/>
  <c r="AL44" i="5"/>
  <c r="AL58" i="5"/>
  <c r="AL62" i="5"/>
  <c r="AL73" i="5"/>
  <c r="AL64" i="5"/>
  <c r="AL48" i="5"/>
  <c r="AL83" i="5"/>
  <c r="AL55" i="5"/>
  <c r="AL16" i="5"/>
  <c r="AL33" i="5"/>
  <c r="AL6" i="5"/>
  <c r="AL22" i="5"/>
  <c r="AL34" i="5"/>
  <c r="AL35" i="5"/>
  <c r="AL40" i="5"/>
  <c r="AL11" i="5"/>
  <c r="AL28" i="5"/>
  <c r="AL12" i="5"/>
  <c r="AL32" i="5"/>
  <c r="AL69" i="5"/>
  <c r="AL36" i="5"/>
  <c r="AL38" i="5"/>
  <c r="AL49" i="5"/>
  <c r="AL66" i="5"/>
  <c r="AL15" i="5"/>
  <c r="AL29" i="5"/>
  <c r="AL82" i="5"/>
  <c r="AL71" i="5"/>
  <c r="AL42" i="5"/>
  <c r="AL47" i="5"/>
  <c r="AL74" i="5"/>
  <c r="AL54" i="5"/>
  <c r="AL21" i="5"/>
  <c r="AL27" i="5"/>
  <c r="AL13" i="5"/>
  <c r="AL56" i="5"/>
  <c r="AL25" i="5"/>
  <c r="AL14" i="5"/>
  <c r="AL84" i="5"/>
  <c r="H12" i="10"/>
</calcChain>
</file>

<file path=xl/sharedStrings.xml><?xml version="1.0" encoding="utf-8"?>
<sst xmlns="http://schemas.openxmlformats.org/spreadsheetml/2006/main" count="2940" uniqueCount="461">
  <si>
    <t>Pale Chub</t>
  </si>
  <si>
    <t>Crucian Carp</t>
  </si>
  <si>
    <t>Dace</t>
  </si>
  <si>
    <t>Carp</t>
  </si>
  <si>
    <t>Goldfish</t>
  </si>
  <si>
    <t>Killifish</t>
  </si>
  <si>
    <t>Frog</t>
  </si>
  <si>
    <t>Tadpole</t>
  </si>
  <si>
    <t>Crawfish</t>
  </si>
  <si>
    <t>Catfish</t>
  </si>
  <si>
    <t>Giant Snakehead</t>
  </si>
  <si>
    <t>Bluegill</t>
  </si>
  <si>
    <t>Black Bass</t>
  </si>
  <si>
    <t>Tilapia</t>
  </si>
  <si>
    <t>Sweetfish</t>
  </si>
  <si>
    <t>Guppy</t>
  </si>
  <si>
    <t>Nibble Fish</t>
  </si>
  <si>
    <t>Angelfish</t>
  </si>
  <si>
    <t>Betta</t>
  </si>
  <si>
    <t>Neon Tetra</t>
  </si>
  <si>
    <t>Rainbowfish</t>
  </si>
  <si>
    <t>Arapaima</t>
  </si>
  <si>
    <t>Clown Fish</t>
  </si>
  <si>
    <t>Surgeonfish</t>
  </si>
  <si>
    <t>Butterfly Fish</t>
  </si>
  <si>
    <t>Zebra Turkeyfish</t>
  </si>
  <si>
    <t>Puffer Fish</t>
  </si>
  <si>
    <t>Horse Mackerel</t>
  </si>
  <si>
    <t>Barred Knifejaw</t>
  </si>
  <si>
    <t>Sea Bass</t>
  </si>
  <si>
    <t>Red Snapper</t>
  </si>
  <si>
    <t>Olive Flounder</t>
  </si>
  <si>
    <t>Squid</t>
  </si>
  <si>
    <t>Ribbon Eel</t>
  </si>
  <si>
    <t>Saw Shark</t>
  </si>
  <si>
    <t>Hammerhead Shark</t>
  </si>
  <si>
    <t>Great White Shark</t>
  </si>
  <si>
    <t>Whale Shark</t>
  </si>
  <si>
    <t>Bitterling</t>
  </si>
  <si>
    <t>River</t>
  </si>
  <si>
    <t>Smallest</t>
  </si>
  <si>
    <t>All day</t>
  </si>
  <si>
    <t>November-March (Northern) / May-September (Southern)</t>
  </si>
  <si>
    <t>9 a.m. - 4 p.m.</t>
  </si>
  <si>
    <t>Year-round (Northern and Southern)</t>
  </si>
  <si>
    <t>Small</t>
  </si>
  <si>
    <t>Medium</t>
  </si>
  <si>
    <t>4 p.m. - 9 a.m.</t>
  </si>
  <si>
    <t>Pond</t>
  </si>
  <si>
    <t>Large</t>
  </si>
  <si>
    <t>Koi</t>
  </si>
  <si>
    <t>Pop-eyed Goldfish</t>
  </si>
  <si>
    <t>Ranchu Goldfish</t>
  </si>
  <si>
    <t>April-August (Northern) / October-February (Southern)</t>
  </si>
  <si>
    <t>April-September (Northern) / October-March (Southern)</t>
  </si>
  <si>
    <t>Soft-shelled Turtle</t>
  </si>
  <si>
    <t>August-September (Northern) / February-March (Southern)</t>
  </si>
  <si>
    <t>Snapping Turtle</t>
  </si>
  <si>
    <t>X Large</t>
  </si>
  <si>
    <t>9 p.m. - 4 a.m.</t>
  </si>
  <si>
    <t>April-October (Northern) / October-April (Southern)</t>
  </si>
  <si>
    <t>March-July (Northern) / September-January (Southern)</t>
  </si>
  <si>
    <t>May-August (Northern) / November-Feburary (Southern)</t>
  </si>
  <si>
    <t>Freshwater Goby</t>
  </si>
  <si>
    <t>Loach</t>
  </si>
  <si>
    <t>March-May (Northern) / September-November (Southern)</t>
  </si>
  <si>
    <t>May-October (Northern) / November-April (Southern)</t>
  </si>
  <si>
    <t>June-August (Northern) / December-February (Southern)</t>
  </si>
  <si>
    <t>Yellow Perch</t>
  </si>
  <si>
    <t>October-March (Northern) / April-September (Southern)</t>
  </si>
  <si>
    <t>June-October (Northern) / December-April (Southern)</t>
  </si>
  <si>
    <t>Pike</t>
  </si>
  <si>
    <t>September-December (Northern) / March-June (Southern)</t>
  </si>
  <si>
    <t>Pond Smelt</t>
  </si>
  <si>
    <t>December-February (Northern) / June-August (Southern)</t>
  </si>
  <si>
    <t>July-September (Northern) / January-March (Southern)</t>
  </si>
  <si>
    <t>Cherry Salmon</t>
  </si>
  <si>
    <t>River (Clifftop)</t>
  </si>
  <si>
    <t>March-June, September-November (Northern) / March-May, September-December (Southern)</t>
  </si>
  <si>
    <t>Char</t>
  </si>
  <si>
    <t>Golden Trout</t>
  </si>
  <si>
    <t>March-May, September-November (Northern) / March-May, September-November (Southern)</t>
  </si>
  <si>
    <t>Stringfish</t>
  </si>
  <si>
    <t>December-March (Northern) / June-September (Southern)</t>
  </si>
  <si>
    <t>Salmon</t>
  </si>
  <si>
    <t>River (mouth)</t>
  </si>
  <si>
    <t>September (Northern) / March (Southern)</t>
  </si>
  <si>
    <t>King Salmon</t>
  </si>
  <si>
    <t>Largest</t>
  </si>
  <si>
    <t>Mitten Crab</t>
  </si>
  <si>
    <t>September-November (Northern) / March-May (Southern)</t>
  </si>
  <si>
    <t>April-November (Northern) / October-May (Southern)</t>
  </si>
  <si>
    <t>May-September (Northern) / November-March (Southern)</t>
  </si>
  <si>
    <t>Piranha</t>
  </si>
  <si>
    <t>9 a.m. - 4 p.m., 9 p.m. - 4 a.m.</t>
  </si>
  <si>
    <t>June-September (Northern) / December-March (Southern)</t>
  </si>
  <si>
    <t>Arowana</t>
  </si>
  <si>
    <t>Dorado</t>
  </si>
  <si>
    <t>4 a.m. - 9 p.m.</t>
  </si>
  <si>
    <t>Gar</t>
  </si>
  <si>
    <t>Saddled Bichir</t>
  </si>
  <si>
    <t>Sturgeon</t>
  </si>
  <si>
    <t>September-March (Northern) / March-September (Southern)</t>
  </si>
  <si>
    <t>Sea Butterfly</t>
  </si>
  <si>
    <t>Sea</t>
  </si>
  <si>
    <t>Sea Horse</t>
  </si>
  <si>
    <t>Napoleonfish</t>
  </si>
  <si>
    <t>July-August (Northern) / January-February (Southern)</t>
  </si>
  <si>
    <t>Blowfish</t>
  </si>
  <si>
    <t>November-February (Northern) / May-August (Southern)</t>
  </si>
  <si>
    <t>Anchovy</t>
  </si>
  <si>
    <t>March-November (Northern) / September-May (Southern)</t>
  </si>
  <si>
    <t>Dab</t>
  </si>
  <si>
    <t>October-April (Northern) / April-October (Southern)</t>
  </si>
  <si>
    <t>December-August (Northern) / June-February (Southern)</t>
  </si>
  <si>
    <t>Moray Eel</t>
  </si>
  <si>
    <t>Narrow</t>
  </si>
  <si>
    <t>August-October (Northern) / February-April (Southern)</t>
  </si>
  <si>
    <t>Tuna</t>
  </si>
  <si>
    <t>Pier</t>
  </si>
  <si>
    <t>November-April (Northern) / May-October (Southern)</t>
  </si>
  <si>
    <t>Blue Marlin</t>
  </si>
  <si>
    <t>July-September, November-April (Northern) / January-March, May-November (Southern)</t>
  </si>
  <si>
    <t>Giant Trevally</t>
  </si>
  <si>
    <t>Mahi-mahi</t>
  </si>
  <si>
    <t>Ocean Sunfish</t>
  </si>
  <si>
    <t>Largest (Fin)</t>
  </si>
  <si>
    <t>Ray</t>
  </si>
  <si>
    <t>August-November (Northern) / February-May (Southern)</t>
  </si>
  <si>
    <t>Suckerfish</t>
  </si>
  <si>
    <t>Large (Fin)</t>
  </si>
  <si>
    <t>Football Fish</t>
  </si>
  <si>
    <t>Oarfish</t>
  </si>
  <si>
    <t>December-May (Northern) / June-November (Southern)</t>
  </si>
  <si>
    <t>Barreleye</t>
  </si>
  <si>
    <t>Coelacanth</t>
  </si>
  <si>
    <t>Sea (rainy days)</t>
  </si>
  <si>
    <t>J</t>
  </si>
  <si>
    <t>F</t>
  </si>
  <si>
    <t>M</t>
  </si>
  <si>
    <t>A</t>
  </si>
  <si>
    <t>S</t>
  </si>
  <si>
    <t>O</t>
  </si>
  <si>
    <t>N</t>
  </si>
  <si>
    <t>D</t>
  </si>
  <si>
    <t>#</t>
  </si>
  <si>
    <t>Fish</t>
  </si>
  <si>
    <t>Location</t>
  </si>
  <si>
    <t>Size</t>
  </si>
  <si>
    <t>Value</t>
  </si>
  <si>
    <t>Time</t>
  </si>
  <si>
    <t>Season</t>
  </si>
  <si>
    <t>B</t>
  </si>
  <si>
    <t>X</t>
  </si>
  <si>
    <t>x</t>
  </si>
  <si>
    <t>Common Butterfly</t>
  </si>
  <si>
    <t>Flying</t>
  </si>
  <si>
    <t>4 a.m. - 7 p.m.</t>
  </si>
  <si>
    <t>September-June (Northern) / March-December (Southern)</t>
  </si>
  <si>
    <t>Yellow Butterfly</t>
  </si>
  <si>
    <t>March-June, September-October (Northern) / March-April, September-December (Southern)</t>
  </si>
  <si>
    <t>Tiger Butterfly</t>
  </si>
  <si>
    <t>March-September (Northern) / September-March (Southern)</t>
  </si>
  <si>
    <t>Peacock Butterfly</t>
  </si>
  <si>
    <t>Flying by hybrid flowers</t>
  </si>
  <si>
    <t>March-June (Northern) / September-December (Southern)</t>
  </si>
  <si>
    <t>Common Bluebottle</t>
  </si>
  <si>
    <t>Paper Kite Butterfly</t>
  </si>
  <si>
    <t>8 a.m. - 7 p.m.</t>
  </si>
  <si>
    <t>Great Purple Emperor</t>
  </si>
  <si>
    <t>May-August (Northern) / November-February (Southern)</t>
  </si>
  <si>
    <t>4 a.m. - 5 p.m.</t>
  </si>
  <si>
    <t>Emperor Butterfly</t>
  </si>
  <si>
    <t>5 p.m. - 8 a.m.</t>
  </si>
  <si>
    <t>June-September, December-March (Northern) / December-March, June-September (Southern)</t>
  </si>
  <si>
    <t>Agrias Butterfly</t>
  </si>
  <si>
    <t>8 a.m. - 5 p.m.</t>
  </si>
  <si>
    <t>April-September (Northern) / November-March (Southern)</t>
  </si>
  <si>
    <t>Raja Brooke's Birdwing</t>
  </si>
  <si>
    <t>Flying by purple flowers</t>
  </si>
  <si>
    <t>April-September, December-February (Northern) / November-March, June-August (Southern)</t>
  </si>
  <si>
    <t>Queen Alexandra's Birdwing</t>
  </si>
  <si>
    <t>8 a.m. - 4 p.m.</t>
  </si>
  <si>
    <t>Moth</t>
  </si>
  <si>
    <t>Flying by light</t>
  </si>
  <si>
    <t>7 p.m. - 4 a.m.</t>
  </si>
  <si>
    <t>Atlas Moth</t>
  </si>
  <si>
    <t>On trees</t>
  </si>
  <si>
    <t>Madagascan Sunset Moth</t>
  </si>
  <si>
    <t>Long Locust</t>
  </si>
  <si>
    <t>On ground</t>
  </si>
  <si>
    <t>April-November (Northern) / November-May (Southern)</t>
  </si>
  <si>
    <t>Migratory Locust</t>
  </si>
  <si>
    <t>Rice Grasshopper</t>
  </si>
  <si>
    <t>Grasshopper</t>
  </si>
  <si>
    <t>Cricket</t>
  </si>
  <si>
    <t>Bell Cricket</t>
  </si>
  <si>
    <t>September-October (Northern) / March-April (Southern)</t>
  </si>
  <si>
    <t>Mantis</t>
  </si>
  <si>
    <t>On flowers</t>
  </si>
  <si>
    <t>Orchid Mantis</t>
  </si>
  <si>
    <t>On white flowers</t>
  </si>
  <si>
    <t>Honeybee</t>
  </si>
  <si>
    <t>March-July (Northern) / March-July (Southern)</t>
  </si>
  <si>
    <t>Wasp</t>
  </si>
  <si>
    <t>Falls from shaking trees</t>
  </si>
  <si>
    <t>Brown Cicada</t>
  </si>
  <si>
    <t>Robust Cicada</t>
  </si>
  <si>
    <t>Giant Cicada</t>
  </si>
  <si>
    <t>Walker Cicada</t>
  </si>
  <si>
    <t>Evening Cicada</t>
  </si>
  <si>
    <t>4 a.m. - 8 a.m., 4 p.m. - 7 p.m.</t>
  </si>
  <si>
    <t>Cicada Shell</t>
  </si>
  <si>
    <t>Red Dragonfly</t>
  </si>
  <si>
    <t>Darner Dragonfly</t>
  </si>
  <si>
    <t>Banded Dragonfly</t>
  </si>
  <si>
    <t>Damselfly</t>
  </si>
  <si>
    <t>Firefly</t>
  </si>
  <si>
    <t>June (Northern) / December (Southern)</t>
  </si>
  <si>
    <t>Mole Cricket</t>
  </si>
  <si>
    <t>Underground</t>
  </si>
  <si>
    <t>November-May (Northern) / May-November (Southern)</t>
  </si>
  <si>
    <t>Pondskater</t>
  </si>
  <si>
    <t>Ponds</t>
  </si>
  <si>
    <t>Diving Beetle</t>
  </si>
  <si>
    <t>Ponds and rivers</t>
  </si>
  <si>
    <t>Giant Water Bug</t>
  </si>
  <si>
    <t>7 p.m. - 8 a.m.</t>
  </si>
  <si>
    <t>Stinkbug</t>
  </si>
  <si>
    <t>March-November (Northern) / September-April (Southern)</t>
  </si>
  <si>
    <t>Man-faced Stink Bug</t>
  </si>
  <si>
    <t>Ladybug</t>
  </si>
  <si>
    <t>March-June, October (Northern) / September-December, April (Southern)</t>
  </si>
  <si>
    <t>Tiger Beetle</t>
  </si>
  <si>
    <t>February-November (Northern) / August-May (Southern)</t>
  </si>
  <si>
    <t>Jewel Beetle</t>
  </si>
  <si>
    <t>On tree stumps</t>
  </si>
  <si>
    <t>Violin Beetle</t>
  </si>
  <si>
    <t>May-June, September-November (Northern) / November-December, March-April (Southern)</t>
  </si>
  <si>
    <t>Citrus Long-horned Beetle</t>
  </si>
  <si>
    <t>Rosalia Batesi Beetle</t>
  </si>
  <si>
    <t>Blue Weevil Beetle</t>
  </si>
  <si>
    <t>On coconut trees</t>
  </si>
  <si>
    <t>Dung Beetle</t>
  </si>
  <si>
    <t>Pushing snowballs</t>
  </si>
  <si>
    <t>Earth-boring Dung Beetle</t>
  </si>
  <si>
    <t>Scarab Beetle</t>
  </si>
  <si>
    <t>11 p.m. - 8 a.m.</t>
  </si>
  <si>
    <t>Drone Beetle</t>
  </si>
  <si>
    <t>Goliath Beetle</t>
  </si>
  <si>
    <t>Saw Stag</t>
  </si>
  <si>
    <t>Miyama Stag</t>
  </si>
  <si>
    <t>Giant Stag</t>
  </si>
  <si>
    <t>Rainbow Stag</t>
  </si>
  <si>
    <t>Cyclommatus Stag</t>
  </si>
  <si>
    <t>Golden Stag</t>
  </si>
  <si>
    <t>Giraffe Stag</t>
  </si>
  <si>
    <t>Horned Dynastid</t>
  </si>
  <si>
    <t>Horned Atlas</t>
  </si>
  <si>
    <t>Horned Elephant</t>
  </si>
  <si>
    <t>Horned Herucles</t>
  </si>
  <si>
    <t>Walking Stick</t>
  </si>
  <si>
    <t>4 a.m. - 8 a.m., 5 p.m. - 7 p.m.</t>
  </si>
  <si>
    <t>July-November (Northern) / January-May (Southern)</t>
  </si>
  <si>
    <t>Walking Leaf</t>
  </si>
  <si>
    <t>July-August (Northern) / January-March (Southern)</t>
  </si>
  <si>
    <t>Bagworm</t>
  </si>
  <si>
    <t>Ant</t>
  </si>
  <si>
    <t>On rotten food</t>
  </si>
  <si>
    <t>Hermit Crab</t>
  </si>
  <si>
    <t>Beach</t>
  </si>
  <si>
    <t>Wharf Roach</t>
  </si>
  <si>
    <t>On rocks at beach</t>
  </si>
  <si>
    <t>Fly</t>
  </si>
  <si>
    <t>On trash items</t>
  </si>
  <si>
    <t>Mosquito</t>
  </si>
  <si>
    <t>5 p.m. - 4 a.m.</t>
  </si>
  <si>
    <t>Flea</t>
  </si>
  <si>
    <t>On villagers</t>
  </si>
  <si>
    <t>Snail</t>
  </si>
  <si>
    <t>On rocks (raining)</t>
  </si>
  <si>
    <t>Pill Bug</t>
  </si>
  <si>
    <t>Hit rocks</t>
  </si>
  <si>
    <t>11 p.m. - 4 p.m.</t>
  </si>
  <si>
    <t>Centipede</t>
  </si>
  <si>
    <t>4 p.m. - 11 p.m.</t>
  </si>
  <si>
    <t>Spider</t>
  </si>
  <si>
    <t>Tarantula</t>
  </si>
  <si>
    <t>Scorpion</t>
  </si>
  <si>
    <t>Near trees</t>
  </si>
  <si>
    <t>North</t>
  </si>
  <si>
    <t>Month:</t>
  </si>
  <si>
    <t>Time:</t>
  </si>
  <si>
    <t>Bug</t>
  </si>
  <si>
    <t>Green = both North and South</t>
  </si>
  <si>
    <t>Month</t>
  </si>
  <si>
    <t>Seaweed</t>
  </si>
  <si>
    <t>October-July (Northern) / April-January (Southern)</t>
  </si>
  <si>
    <t>Sea grapes</t>
  </si>
  <si>
    <t>Sea cucumber</t>
  </si>
  <si>
    <t>Sea pig</t>
  </si>
  <si>
    <t>4 p.m. - 9 a .m.</t>
  </si>
  <si>
    <t>Sea star</t>
  </si>
  <si>
    <t>Sea urchin</t>
  </si>
  <si>
    <t>Sea anemone</t>
  </si>
  <si>
    <t>Moon jellyfish</t>
  </si>
  <si>
    <t>Sea slug</t>
  </si>
  <si>
    <t>Pearl oyster</t>
  </si>
  <si>
    <t>Mussel</t>
  </si>
  <si>
    <t>June-December (Northern) / December-June (Southern)</t>
  </si>
  <si>
    <t>Oyster</t>
  </si>
  <si>
    <t>September-February (Northern) / March-August (Southern)</t>
  </si>
  <si>
    <t>Scallop</t>
  </si>
  <si>
    <t>Whelk</t>
  </si>
  <si>
    <t>Turban shell</t>
  </si>
  <si>
    <t>March-May, September-December (Northern) / March-June, September-November (Southern)</t>
  </si>
  <si>
    <t>Abalone</t>
  </si>
  <si>
    <t>June-January (Northern) / December-July (Southern)</t>
  </si>
  <si>
    <t>Gigas giant clam</t>
  </si>
  <si>
    <t>Chambered nautilus</t>
  </si>
  <si>
    <t>March-June, September-November (Northern) / September-December, March-May (Southern)</t>
  </si>
  <si>
    <t>Octopus</t>
  </si>
  <si>
    <t>Umbrella octopus</t>
  </si>
  <si>
    <t>March-May, September-November (Northern and Southern)</t>
  </si>
  <si>
    <t>Vampire squid</t>
  </si>
  <si>
    <t>Firefly squid</t>
  </si>
  <si>
    <t>Gazami crab</t>
  </si>
  <si>
    <t>June-November (Northern) / December-May (Southern)</t>
  </si>
  <si>
    <t>Dungeoness crab</t>
  </si>
  <si>
    <t>Snow crab</t>
  </si>
  <si>
    <t>Red king crab</t>
  </si>
  <si>
    <t>Acorn barnacle</t>
  </si>
  <si>
    <t>Spider crab</t>
  </si>
  <si>
    <t>March-April (Northern) / September-October (Southern)</t>
  </si>
  <si>
    <t>Tiger prawn</t>
  </si>
  <si>
    <t>Sweet shrimp</t>
  </si>
  <si>
    <t>Mantis shrimp</t>
  </si>
  <si>
    <t>Spiny Lobster</t>
  </si>
  <si>
    <t>October-December (Northern) / April-June (Southern)</t>
  </si>
  <si>
    <t>Lobster</t>
  </si>
  <si>
    <t>April-June, December-January (Northern) / October-December, June-July (Southern)</t>
  </si>
  <si>
    <t>Giant isopod</t>
  </si>
  <si>
    <t>July-October (Northern) / January-April (Southern)</t>
  </si>
  <si>
    <t>Horseshoe crab</t>
  </si>
  <si>
    <t>Sea pineapple</t>
  </si>
  <si>
    <t>Spotted garden eel</t>
  </si>
  <si>
    <t>Flatworm</t>
  </si>
  <si>
    <t>Venus' flower basket</t>
  </si>
  <si>
    <t>October-February (Northern) / April-August (Southern)</t>
  </si>
  <si>
    <t>Monarch Butterfly</t>
  </si>
  <si>
    <t>o</t>
  </si>
  <si>
    <t>Serene Painting</t>
  </si>
  <si>
    <t>Warm Painting</t>
  </si>
  <si>
    <t>Wistful Painting</t>
  </si>
  <si>
    <t>Academic Painting</t>
  </si>
  <si>
    <t>Graceful Painting</t>
  </si>
  <si>
    <t>Calm Painting</t>
  </si>
  <si>
    <t>Flowery Painting</t>
  </si>
  <si>
    <t>Jolly Painting</t>
  </si>
  <si>
    <t>Moody Painting</t>
  </si>
  <si>
    <t>Famous Painting</t>
  </si>
  <si>
    <t>Scary Painting</t>
  </si>
  <si>
    <t>Dynamic Painting</t>
  </si>
  <si>
    <t>Scenic Painting</t>
  </si>
  <si>
    <t>Moving Painting</t>
  </si>
  <si>
    <t>Amazing Painting</t>
  </si>
  <si>
    <t>Quaint Painting</t>
  </si>
  <si>
    <t>Solemn Painting</t>
  </si>
  <si>
    <t>Basic Painting</t>
  </si>
  <si>
    <t>Worthy Painting</t>
  </si>
  <si>
    <t>Glowing Painting</t>
  </si>
  <si>
    <t>Common Painting</t>
  </si>
  <si>
    <t>Sinking Painting</t>
  </si>
  <si>
    <t>Nice Painting</t>
  </si>
  <si>
    <t>Proper Painting</t>
  </si>
  <si>
    <t>Mysterious Painting</t>
  </si>
  <si>
    <t>Twinkling Painting</t>
  </si>
  <si>
    <t>Perfect Painting</t>
  </si>
  <si>
    <t>Wild Painting Left Half</t>
  </si>
  <si>
    <t>Wild Painting Right Half</t>
  </si>
  <si>
    <t>Detailed Painting</t>
  </si>
  <si>
    <t>Paintings</t>
  </si>
  <si>
    <t>Warrior Statue</t>
  </si>
  <si>
    <t>Motherly Statue</t>
  </si>
  <si>
    <t>Beautiful Statue</t>
  </si>
  <si>
    <t>Familiar Statue</t>
  </si>
  <si>
    <t>Robust Statue</t>
  </si>
  <si>
    <t>Gallant Statue</t>
  </si>
  <si>
    <t>Informative Statue</t>
  </si>
  <si>
    <t>Rock-head Statue</t>
  </si>
  <si>
    <t>Ancient Statue</t>
  </si>
  <si>
    <t>Tremendous Statue</t>
  </si>
  <si>
    <t>Valiant Statue</t>
  </si>
  <si>
    <t>Mystic Statue</t>
  </si>
  <si>
    <t>Great Statue</t>
  </si>
  <si>
    <t>Statues</t>
  </si>
  <si>
    <t>Hemisphere</t>
  </si>
  <si>
    <t>South</t>
  </si>
  <si>
    <t>January</t>
  </si>
  <si>
    <t>Febuary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</si>
  <si>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</si>
  <si>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</si>
  <si>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</si>
  <si>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</si>
  <si>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</si>
  <si>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</si>
  <si>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</si>
  <si>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</si>
  <si>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</si>
  <si>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</si>
  <si>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Enter Custom Date &amp; Time</t>
  </si>
  <si>
    <t>Use Current Date &amp; Time</t>
  </si>
  <si>
    <t>10:00am - 11:00am</t>
  </si>
  <si>
    <t>11:00am - 12:00pm</t>
  </si>
  <si>
    <t>12:00am - 1:00am</t>
  </si>
  <si>
    <t>1:00am - 2:00am</t>
  </si>
  <si>
    <t>2:00am - 3:00am</t>
  </si>
  <si>
    <t>3:00am - 4:00am</t>
  </si>
  <si>
    <t>4:00am - 5:00am</t>
  </si>
  <si>
    <t>5:00am - 6:00am</t>
  </si>
  <si>
    <t>6:00am - 7:00am</t>
  </si>
  <si>
    <t>7:00am - 8:00am</t>
  </si>
  <si>
    <t>8:00am - 9:00am</t>
  </si>
  <si>
    <t>9:00am - 10:00am</t>
  </si>
  <si>
    <t>12:00pm - 1:00pm</t>
  </si>
  <si>
    <t>1:00pm - 2:00pm</t>
  </si>
  <si>
    <t>2:00pm - 3:00pm</t>
  </si>
  <si>
    <t>3:00pm - 4:00pm</t>
  </si>
  <si>
    <t>4:00pm - 5:00pm</t>
  </si>
  <si>
    <t>5:00pm - 6:00pm</t>
  </si>
  <si>
    <t>6:00pm - 7:00pm</t>
  </si>
  <si>
    <t>7:00pm - 8:00pm</t>
  </si>
  <si>
    <t>8:00pm - 9:00pm</t>
  </si>
  <si>
    <t>9:00pm - 10:00pm</t>
  </si>
  <si>
    <t>10:00pm - 11:00pm</t>
  </si>
  <si>
    <t>11:00pm - 12:00am</t>
  </si>
  <si>
    <t>-- or --</t>
  </si>
  <si>
    <t>&lt;-- (drop down menu)</t>
  </si>
  <si>
    <t>foo</t>
  </si>
  <si>
    <t>Donated?</t>
  </si>
  <si>
    <t>:)</t>
  </si>
  <si>
    <t>m</t>
  </si>
  <si>
    <t>Enter</t>
  </si>
  <si>
    <t>any text</t>
  </si>
  <si>
    <t>to gray out</t>
  </si>
  <si>
    <t>items you</t>
  </si>
  <si>
    <t>donated</t>
  </si>
  <si>
    <t>[]</t>
  </si>
  <si>
    <t>Which hemisphere is your island in?</t>
  </si>
  <si>
    <t>1) Set your island information</t>
  </si>
  <si>
    <t>This will enable the sheet to highlight all the bugs and fish that you can currently capture on your island</t>
  </si>
  <si>
    <t>2) Select a checkbox below to set the date and time of your island</t>
  </si>
  <si>
    <t>Red Text = Currently Catch-able</t>
  </si>
  <si>
    <t>Slate pencil urchin</t>
  </si>
  <si>
    <t>Sea Creature</t>
  </si>
  <si>
    <t>yay</t>
  </si>
  <si>
    <r>
      <t xml:space="preserve">Note: Excel spreadsheets do not update time automatically when the user is idle, so sometimes the sheet will fall behind the current date &amp; time.
</t>
    </r>
    <r>
      <rPr>
        <b/>
        <sz val="14"/>
        <color theme="1"/>
        <rFont val="Calibri"/>
        <family val="2"/>
        <scheme val="minor"/>
      </rPr>
      <t>To update the sheet's time, click any of the "Update Current Date &amp; Time" buttons on the sheet.</t>
    </r>
  </si>
  <si>
    <t>Please select "Enable Content" when you first open this sheet to enable interactivity</t>
  </si>
  <si>
    <r>
      <t xml:space="preserve">Welcome to the </t>
    </r>
    <r>
      <rPr>
        <b/>
        <i/>
        <sz val="17"/>
        <color theme="1"/>
        <rFont val="Calibri"/>
        <family val="2"/>
        <scheme val="minor"/>
      </rPr>
      <t>Animal Crossing New Horizons</t>
    </r>
    <r>
      <rPr>
        <b/>
        <sz val="17"/>
        <color theme="1"/>
        <rFont val="Calibri"/>
        <family val="2"/>
        <scheme val="minor"/>
      </rPr>
      <t xml:space="preserve"> Collection Checklist!</t>
    </r>
  </si>
  <si>
    <t>Blue = North Hemisphere</t>
  </si>
  <si>
    <t>Orange = South Hemisphere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</si>
</sst>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[$-409]h:mm\ AM/PM;@"/>
    <numFmt numFmtId="166" formatCode="[$-F400]h:mm:ss\ AM/PM"/>
    <numFmt numFmtId="167" formatCode="[$-409]mmmm\ dd\,\ h:mm\ AM/PM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sz val="12"/>
      <color theme="0"/>
      <name val="Palatino Linotype"/>
      <family val="1"/>
    </font>
    <font>
      <b/>
      <sz val="16"/>
      <color theme="0"/>
      <name val="Monotype Corsiva"/>
      <family val="4"/>
    </font>
    <font>
      <sz val="18"/>
      <color theme="0"/>
      <name val="Monotype Corsiva"/>
      <family val="4"/>
    </font>
    <font>
      <b/>
      <sz val="18"/>
      <color theme="0"/>
      <name val="Monotype Corsiva"/>
      <family val="4"/>
    </font>
    <font>
      <sz val="18"/>
      <color theme="1"/>
      <name val="Monotype Corsiva"/>
      <family val="4"/>
    </font>
    <font>
      <b/>
      <sz val="10"/>
      <color rgb="FF00B0F0"/>
      <name val="Palatino Linotype"/>
      <family val="1"/>
    </font>
    <font>
      <b/>
      <sz val="10"/>
      <color theme="7" tint="-0.249977111117893"/>
      <name val="Palatino Linotype"/>
      <family val="1"/>
    </font>
    <font>
      <sz val="12"/>
      <color theme="9" tint="0.59999389629810485"/>
      <name val="Palatino Linotype"/>
      <family val="1"/>
    </font>
    <font>
      <sz val="18"/>
      <color theme="5" tint="0.59999389629810485"/>
      <name val="Monotype Corsiva"/>
      <family val="4"/>
    </font>
    <font>
      <b/>
      <sz val="10"/>
      <color rgb="FF002060"/>
      <name val="Palatino Linotype"/>
      <family val="1"/>
    </font>
    <font>
      <b/>
      <sz val="14"/>
      <color theme="0"/>
      <name val="Palatino Linotype"/>
      <family val="1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4"/>
      <color theme="7" tint="0.59999389629810485"/>
      <name val="Palatino Linotype"/>
      <family val="1"/>
    </font>
    <font>
      <sz val="14"/>
      <color theme="0"/>
      <name val="Palatino Linotype"/>
      <family val="1"/>
    </font>
    <font>
      <b/>
      <sz val="10"/>
      <color theme="0"/>
      <name val="Palatino Linotype"/>
      <family val="1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2"/>
      <color rgb="FF808080"/>
      <name val="Calibri"/>
      <family val="2"/>
      <scheme val="minor"/>
    </font>
    <font>
      <sz val="11"/>
      <color rgb="FF808080"/>
      <name val="Calibri"/>
      <family val="2"/>
      <scheme val="minor"/>
    </font>
    <font>
      <sz val="12"/>
      <color rgb="FF000000"/>
      <name val="Calibri"/>
      <family val="2"/>
    </font>
    <font>
      <sz val="10"/>
      <color rgb="FF000000"/>
      <name val="Calibri"/>
      <family val="2"/>
    </font>
    <font>
      <sz val="8"/>
      <color rgb="FF000000"/>
      <name val="Calibri"/>
      <family val="2"/>
    </font>
    <font>
      <b/>
      <sz val="12"/>
      <color rgb="FFFF0000"/>
      <name val="Palatino Linotype"/>
      <family val="1"/>
    </font>
    <font>
      <sz val="18"/>
      <color theme="0"/>
      <name val="Calibri"/>
      <family val="2"/>
    </font>
    <font>
      <b/>
      <sz val="12"/>
      <color rgb="FF80808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i/>
      <sz val="17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0"/>
      </left>
      <right style="thin">
        <color theme="0"/>
      </right>
      <top/>
      <bottom style="thin">
        <color rgb="FF00B0F0"/>
      </bottom>
      <diagonal/>
    </border>
    <border>
      <left style="thin">
        <color theme="7" tint="-0.249977111117893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0"/>
      </left>
      <right style="thin">
        <color theme="0"/>
      </right>
      <top/>
      <bottom style="thin">
        <color theme="7" tint="-0.249977111117893"/>
      </bottom>
      <diagonal/>
    </border>
    <border>
      <left/>
      <right/>
      <top/>
      <bottom style="thin">
        <color theme="4" tint="0.59996337778862885"/>
      </bottom>
      <diagonal/>
    </border>
    <border>
      <left/>
      <right/>
      <top style="thin">
        <color theme="4" tint="0.59996337778862885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164" fontId="2" fillId="0" borderId="0" xfId="0" applyNumberFormat="1" applyFont="1"/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164" fontId="3" fillId="4" borderId="0" xfId="0" applyNumberFormat="1" applyFont="1" applyFill="1"/>
    <xf numFmtId="1" fontId="3" fillId="4" borderId="0" xfId="0" applyNumberFormat="1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7" fillId="0" borderId="0" xfId="0" applyFont="1" applyAlignment="1">
      <alignment vertical="center"/>
    </xf>
    <xf numFmtId="0" fontId="6" fillId="5" borderId="1" xfId="0" applyFont="1" applyFill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4" fontId="2" fillId="0" borderId="4" xfId="0" applyNumberFormat="1" applyFont="1" applyFill="1" applyBorder="1" applyAlignment="1">
      <alignment horizontal="center"/>
    </xf>
    <xf numFmtId="0" fontId="2" fillId="0" borderId="4" xfId="0" applyFont="1" applyFill="1" applyBorder="1"/>
    <xf numFmtId="3" fontId="2" fillId="0" borderId="4" xfId="0" applyNumberFormat="1" applyFont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5" borderId="5" xfId="0" applyFont="1" applyFill="1" applyBorder="1" applyAlignment="1">
      <alignment horizontal="center"/>
    </xf>
    <xf numFmtId="164" fontId="8" fillId="5" borderId="5" xfId="0" applyNumberFormat="1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 vertical="center"/>
    </xf>
    <xf numFmtId="164" fontId="6" fillId="6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6" borderId="2" xfId="0" applyFont="1" applyFill="1" applyBorder="1" applyAlignment="1">
      <alignment horizontal="center"/>
    </xf>
    <xf numFmtId="164" fontId="9" fillId="6" borderId="2" xfId="0" applyNumberFormat="1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6" xfId="0" applyFont="1" applyBorder="1"/>
    <xf numFmtId="164" fontId="2" fillId="0" borderId="6" xfId="0" applyNumberFormat="1" applyFont="1" applyFill="1" applyBorder="1" applyAlignment="1">
      <alignment horizontal="center"/>
    </xf>
    <xf numFmtId="0" fontId="2" fillId="0" borderId="6" xfId="0" applyFont="1" applyFill="1" applyBorder="1"/>
    <xf numFmtId="0" fontId="2" fillId="0" borderId="6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1" fontId="2" fillId="0" borderId="4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 vertical="center"/>
    </xf>
    <xf numFmtId="164" fontId="6" fillId="7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/>
    </xf>
    <xf numFmtId="164" fontId="12" fillId="7" borderId="2" xfId="0" applyNumberFormat="1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/>
    <xf numFmtId="164" fontId="2" fillId="0" borderId="7" xfId="0" applyNumberFormat="1" applyFont="1" applyFill="1" applyBorder="1" applyAlignment="1">
      <alignment horizontal="center"/>
    </xf>
    <xf numFmtId="0" fontId="2" fillId="0" borderId="7" xfId="0" applyFont="1" applyFill="1" applyBorder="1"/>
    <xf numFmtId="3" fontId="2" fillId="0" borderId="7" xfId="0" applyNumberFormat="1" applyFont="1" applyBorder="1" applyAlignment="1">
      <alignment horizontal="center"/>
    </xf>
    <xf numFmtId="1" fontId="2" fillId="0" borderId="7" xfId="0" applyNumberFormat="1" applyFont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Border="1"/>
    <xf numFmtId="0" fontId="13" fillId="8" borderId="8" xfId="0" applyFont="1" applyFill="1" applyBorder="1"/>
    <xf numFmtId="0" fontId="1" fillId="0" borderId="0" xfId="0" applyFont="1" applyAlignment="1">
      <alignment horizontal="center"/>
    </xf>
    <xf numFmtId="0" fontId="13" fillId="8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/>
    </xf>
    <xf numFmtId="0" fontId="1" fillId="0" borderId="8" xfId="0" applyFont="1" applyBorder="1"/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3" fillId="4" borderId="0" xfId="0" applyNumberFormat="1" applyFont="1" applyFill="1" applyBorder="1" applyAlignment="1">
      <alignment horizontal="center"/>
    </xf>
    <xf numFmtId="2" fontId="3" fillId="4" borderId="0" xfId="0" applyNumberFormat="1" applyFont="1" applyFill="1" applyBorder="1" applyAlignment="1">
      <alignment horizontal="center"/>
    </xf>
    <xf numFmtId="20" fontId="0" fillId="0" borderId="0" xfId="0" applyNumberFormat="1"/>
    <xf numFmtId="166" fontId="0" fillId="0" borderId="0" xfId="0" applyNumberFormat="1"/>
    <xf numFmtId="18" fontId="0" fillId="0" borderId="0" xfId="0" applyNumberFormat="1"/>
    <xf numFmtId="0" fontId="0" fillId="9" borderId="0" xfId="0" applyFill="1" applyAlignment="1">
      <alignment horizontal="center" vertical="center"/>
    </xf>
    <xf numFmtId="49" fontId="3" fillId="4" borderId="0" xfId="0" applyNumberFormat="1" applyFont="1" applyFill="1" applyAlignment="1">
      <alignment horizontal="center"/>
    </xf>
    <xf numFmtId="49" fontId="3" fillId="4" borderId="0" xfId="0" applyNumberFormat="1" applyFont="1" applyFill="1"/>
    <xf numFmtId="49" fontId="2" fillId="0" borderId="6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3" fillId="4" borderId="0" xfId="0" applyNumberFormat="1" applyFont="1" applyFill="1" applyAlignment="1">
      <alignment horizontal="center"/>
    </xf>
    <xf numFmtId="49" fontId="5" fillId="5" borderId="1" xfId="0" applyNumberFormat="1" applyFont="1" applyFill="1" applyBorder="1" applyAlignment="1">
      <alignment vertical="center"/>
    </xf>
    <xf numFmtId="49" fontId="8" fillId="5" borderId="5" xfId="0" applyNumberFormat="1" applyFont="1" applyFill="1" applyBorder="1" applyAlignment="1">
      <alignment horizontal="center"/>
    </xf>
    <xf numFmtId="49" fontId="2" fillId="0" borderId="4" xfId="0" applyNumberFormat="1" applyFont="1" applyBorder="1" applyAlignment="1">
      <alignment horizontal="center"/>
    </xf>
    <xf numFmtId="49" fontId="5" fillId="7" borderId="1" xfId="0" applyNumberFormat="1" applyFont="1" applyFill="1" applyBorder="1" applyAlignment="1">
      <alignment vertical="center"/>
    </xf>
    <xf numFmtId="49" fontId="12" fillId="7" borderId="2" xfId="0" applyNumberFormat="1" applyFont="1" applyFill="1" applyBorder="1" applyAlignment="1">
      <alignment horizontal="center"/>
    </xf>
    <xf numFmtId="49" fontId="2" fillId="0" borderId="7" xfId="0" applyNumberFormat="1" applyFont="1" applyBorder="1" applyAlignment="1">
      <alignment horizontal="center"/>
    </xf>
    <xf numFmtId="49" fontId="2" fillId="0" borderId="0" xfId="0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/>
    </xf>
    <xf numFmtId="0" fontId="0" fillId="0" borderId="0" xfId="0" applyNumberFormat="1"/>
    <xf numFmtId="0" fontId="6" fillId="6" borderId="1" xfId="0" applyFont="1" applyFill="1" applyBorder="1" applyAlignment="1">
      <alignment vertical="center"/>
    </xf>
    <xf numFmtId="0" fontId="6" fillId="6" borderId="9" xfId="0" applyFont="1" applyFill="1" applyBorder="1" applyAlignment="1">
      <alignment vertical="center"/>
    </xf>
    <xf numFmtId="49" fontId="5" fillId="6" borderId="9" xfId="0" applyNumberFormat="1" applyFont="1" applyFill="1" applyBorder="1" applyAlignment="1">
      <alignment vertical="center"/>
    </xf>
    <xf numFmtId="2" fontId="3" fillId="4" borderId="0" xfId="0" applyNumberFormat="1" applyFont="1" applyFill="1" applyBorder="1" applyAlignment="1"/>
    <xf numFmtId="0" fontId="23" fillId="6" borderId="2" xfId="0" applyFont="1" applyFill="1" applyBorder="1" applyAlignment="1">
      <alignment horizontal="center"/>
    </xf>
    <xf numFmtId="0" fontId="23" fillId="5" borderId="2" xfId="0" applyFont="1" applyFill="1" applyBorder="1" applyAlignment="1">
      <alignment horizontal="center"/>
    </xf>
    <xf numFmtId="49" fontId="32" fillId="6" borderId="1" xfId="0" applyNumberFormat="1" applyFont="1" applyFill="1" applyBorder="1" applyAlignment="1">
      <alignment vertical="center"/>
    </xf>
    <xf numFmtId="0" fontId="0" fillId="10" borderId="0" xfId="0" applyFill="1"/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horizontal="center"/>
    </xf>
    <xf numFmtId="166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27" fillId="9" borderId="10" xfId="0" applyFont="1" applyFill="1" applyBorder="1" applyAlignment="1">
      <alignment horizontal="center" vertical="center"/>
    </xf>
    <xf numFmtId="165" fontId="27" fillId="9" borderId="11" xfId="0" applyNumberFormat="1" applyFont="1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0" fontId="0" fillId="12" borderId="0" xfId="0" applyFill="1"/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17" fillId="11" borderId="0" xfId="0" applyFont="1" applyFill="1" applyAlignment="1">
      <alignment horizontal="center"/>
    </xf>
    <xf numFmtId="0" fontId="15" fillId="11" borderId="0" xfId="0" applyFont="1" applyFill="1" applyAlignment="1">
      <alignment horizontal="left"/>
    </xf>
    <xf numFmtId="0" fontId="16" fillId="11" borderId="0" xfId="0" applyFont="1" applyFill="1" applyAlignment="1">
      <alignment horizontal="left"/>
    </xf>
    <xf numFmtId="0" fontId="20" fillId="11" borderId="0" xfId="0" applyFont="1" applyFill="1"/>
    <xf numFmtId="0" fontId="19" fillId="11" borderId="0" xfId="0" applyFont="1" applyFill="1" applyAlignment="1">
      <alignment horizontal="center"/>
    </xf>
    <xf numFmtId="14" fontId="19" fillId="11" borderId="0" xfId="0" applyNumberFormat="1" applyFont="1" applyFill="1" applyAlignment="1">
      <alignment horizontal="center" vertical="center"/>
    </xf>
    <xf numFmtId="0" fontId="19" fillId="11" borderId="0" xfId="0" applyFont="1" applyFill="1"/>
    <xf numFmtId="0" fontId="18" fillId="11" borderId="0" xfId="0" applyFont="1" applyFill="1" applyAlignment="1">
      <alignment horizontal="center"/>
    </xf>
    <xf numFmtId="167" fontId="19" fillId="11" borderId="0" xfId="0" applyNumberFormat="1" applyFont="1" applyFill="1" applyAlignment="1">
      <alignment horizontal="center" vertical="center"/>
    </xf>
    <xf numFmtId="49" fontId="19" fillId="11" borderId="0" xfId="0" applyNumberFormat="1" applyFont="1" applyFill="1" applyAlignment="1">
      <alignment horizontal="center"/>
    </xf>
    <xf numFmtId="0" fontId="26" fillId="11" borderId="0" xfId="0" applyFont="1" applyFill="1" applyAlignment="1">
      <alignment horizontal="center"/>
    </xf>
    <xf numFmtId="0" fontId="27" fillId="11" borderId="0" xfId="0" applyFont="1" applyFill="1" applyAlignment="1">
      <alignment horizontal="center" vertical="center"/>
    </xf>
    <xf numFmtId="0" fontId="27" fillId="11" borderId="0" xfId="0" applyFont="1" applyFill="1"/>
    <xf numFmtId="0" fontId="33" fillId="11" borderId="0" xfId="0" applyFont="1" applyFill="1" applyAlignment="1">
      <alignment horizontal="center"/>
    </xf>
    <xf numFmtId="0" fontId="34" fillId="10" borderId="0" xfId="0" applyFont="1" applyFill="1" applyBorder="1" applyAlignment="1">
      <alignment horizontal="center"/>
    </xf>
    <xf numFmtId="0" fontId="17" fillId="11" borderId="0" xfId="0" applyFont="1" applyFill="1" applyAlignment="1">
      <alignment horizontal="center"/>
    </xf>
    <xf numFmtId="0" fontId="16" fillId="14" borderId="0" xfId="0" applyFont="1" applyFill="1" applyAlignment="1">
      <alignment horizontal="center" vertical="center" wrapText="1"/>
    </xf>
    <xf numFmtId="0" fontId="36" fillId="13" borderId="12" xfId="0" applyFont="1" applyFill="1" applyBorder="1" applyAlignment="1">
      <alignment horizontal="center"/>
    </xf>
    <xf numFmtId="0" fontId="16" fillId="11" borderId="0" xfId="0" applyFont="1" applyFill="1" applyAlignment="1">
      <alignment horizontal="left"/>
    </xf>
    <xf numFmtId="0" fontId="24" fillId="11" borderId="0" xfId="0" applyFont="1" applyFill="1" applyAlignment="1">
      <alignment horizontal="left"/>
    </xf>
    <xf numFmtId="0" fontId="0" fillId="11" borderId="0" xfId="0" applyFill="1" applyAlignment="1">
      <alignment horizontal="left"/>
    </xf>
    <xf numFmtId="0" fontId="27" fillId="11" borderId="0" xfId="0" applyFont="1" applyFill="1" applyAlignment="1">
      <alignment horizontal="left"/>
    </xf>
    <xf numFmtId="0" fontId="35" fillId="12" borderId="13" xfId="0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  <xf numFmtId="0" fontId="21" fillId="4" borderId="0" xfId="0" applyFont="1" applyFill="1" applyAlignment="1">
      <alignment horizontal="left" vertical="center"/>
    </xf>
    <xf numFmtId="0" fontId="21" fillId="4" borderId="3" xfId="0" applyFont="1" applyFill="1" applyBorder="1" applyAlignment="1">
      <alignment horizontal="left" vertical="center"/>
    </xf>
    <xf numFmtId="164" fontId="3" fillId="4" borderId="3" xfId="0" applyNumberFormat="1" applyFont="1" applyFill="1" applyBorder="1" applyAlignment="1">
      <alignment horizontal="center"/>
    </xf>
    <xf numFmtId="2" fontId="3" fillId="4" borderId="0" xfId="0" applyNumberFormat="1" applyFont="1" applyFill="1" applyBorder="1" applyAlignment="1">
      <alignment horizontal="center"/>
    </xf>
    <xf numFmtId="0" fontId="22" fillId="4" borderId="0" xfId="0" applyFont="1" applyFill="1" applyBorder="1" applyAlignment="1">
      <alignment horizontal="center"/>
    </xf>
    <xf numFmtId="0" fontId="22" fillId="4" borderId="3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2" fontId="3" fillId="4" borderId="0" xfId="0" applyNumberFormat="1" applyFont="1" applyFill="1" applyAlignment="1">
      <alignment horizontal="center"/>
    </xf>
    <xf numFmtId="164" fontId="3" fillId="4" borderId="0" xfId="0" applyNumberFormat="1" applyFont="1" applyFill="1" applyBorder="1" applyAlignment="1">
      <alignment horizontal="center"/>
    </xf>
    <xf numFmtId="0" fontId="7" fillId="10" borderId="15" xfId="0" applyFont="1" applyFill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1" fillId="2" borderId="17" xfId="0" applyFont="1" applyFill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10" fillId="3" borderId="17" xfId="0" applyFont="1" applyFill="1" applyBorder="1"/>
    <xf numFmtId="0" fontId="1" fillId="0" borderId="14" xfId="0" applyFont="1" applyBorder="1"/>
    <xf numFmtId="0" fontId="31" fillId="0" borderId="18" xfId="0" applyFont="1" applyBorder="1" applyAlignment="1">
      <alignment horizontal="center"/>
    </xf>
    <xf numFmtId="0" fontId="1" fillId="0" borderId="19" xfId="0" applyFont="1" applyBorder="1" applyAlignment="1">
      <alignment vertical="center"/>
    </xf>
  </cellXfs>
  <cellStyles count="1">
    <cellStyle name="Normal" xfId="0" builtinId="0"/>
  </cellStyles>
  <dxfs count="32">
    <dxf>
      <font>
        <b/>
        <i val="0"/>
        <color rgb="FFFF0000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b/>
        <i val="0"/>
        <color rgb="FFFF0000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b/>
        <i val="0"/>
        <color rgb="FFFF0000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b/>
        <i val="0"/>
        <color rgb="FFFF0000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rgb="FFFF0000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8" tint="0.59996337778862885"/>
      </font>
      <fill>
        <patternFill>
          <bgColor theme="8" tint="0.59996337778862885"/>
        </patternFill>
      </fill>
    </dxf>
    <dxf>
      <font>
        <color theme="5" tint="0.59996337778862885"/>
      </font>
      <fill>
        <patternFill>
          <bgColor theme="5" tint="0.59996337778862885"/>
        </patternFill>
      </fill>
    </dxf>
    <dxf>
      <font>
        <color theme="9" tint="0.59996337778862885"/>
      </font>
      <fill>
        <patternFill>
          <bgColor theme="9" tint="0.59996337778862885"/>
        </patternFill>
      </fill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2" defaultPivotStyle="PivotStyleLight16"/>
  <colors>
    <mruColors>
      <color rgb="FFCCFFFF"/>
      <color rgb="FFCCECFF"/>
      <color rgb="FF99FF66"/>
      <color rgb="FFFF66FF"/>
      <color rgb="FFFF00FF"/>
      <color rgb="FFFF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B$12" lockText="1" noThreeD="1"/>
</file>

<file path=xl/ctrlProps/ctrlProp2.xml><?xml version="1.0" encoding="utf-8"?>
<formControlPr xmlns="http://schemas.microsoft.com/office/spreadsheetml/2009/9/main" objectType="CheckBox" fmlaLink="$B$14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10</xdr:row>
          <xdr:rowOff>190500</xdr:rowOff>
        </xdr:from>
        <xdr:to>
          <xdr:col>2</xdr:col>
          <xdr:colOff>19050</xdr:colOff>
          <xdr:row>11</xdr:row>
          <xdr:rowOff>180975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200025</xdr:colOff>
          <xdr:row>13</xdr:row>
          <xdr:rowOff>180975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1724025</xdr:colOff>
          <xdr:row>23</xdr:row>
          <xdr:rowOff>142875</xdr:rowOff>
        </xdr:from>
        <xdr:to>
          <xdr:col>4</xdr:col>
          <xdr:colOff>409575</xdr:colOff>
          <xdr:row>26</xdr:row>
          <xdr:rowOff>180975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0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Current Date &amp; Time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276224</xdr:colOff>
      <xdr:row>2</xdr:row>
      <xdr:rowOff>171450</xdr:rowOff>
    </xdr:from>
    <xdr:to>
      <xdr:col>15</xdr:col>
      <xdr:colOff>250493</xdr:colOff>
      <xdr:row>11</xdr:row>
      <xdr:rowOff>123824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00924" y="647700"/>
          <a:ext cx="3631869" cy="1904999"/>
        </a:xfrm>
        <a:prstGeom prst="rect">
          <a:avLst/>
        </a:prstGeom>
        <a:ln w="168275">
          <a:solidFill>
            <a:schemeClr val="accent4">
              <a:lumMod val="20000"/>
              <a:lumOff val="80000"/>
            </a:schemeClr>
          </a:solidFill>
          <a:miter lim="800000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0</xdr:row>
          <xdr:rowOff>76200</xdr:rowOff>
        </xdr:from>
        <xdr:to>
          <xdr:col>11</xdr:col>
          <xdr:colOff>1123950</xdr:colOff>
          <xdr:row>1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Current Date &amp;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</xdr:colOff>
      <xdr:row>7</xdr:row>
      <xdr:rowOff>133350</xdr:rowOff>
    </xdr:from>
    <xdr:to>
      <xdr:col>4</xdr:col>
      <xdr:colOff>104775</xdr:colOff>
      <xdr:row>14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00050" y="1733550"/>
          <a:ext cx="4171950" cy="14763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444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&lt;---</a:t>
          </a:r>
          <a:r>
            <a:rPr lang="en-US" sz="1400" baseline="0"/>
            <a:t> Enter any letter, number, or symbol into the leftmost column to check off the bugs and fish that you already have.</a:t>
          </a:r>
        </a:p>
        <a:p>
          <a:endParaRPr lang="en-US" sz="1400" baseline="0"/>
        </a:p>
        <a:p>
          <a:r>
            <a:rPr lang="en-US" sz="1400" baseline="0"/>
            <a:t>If that makes sense, you may delete this text box! :)</a:t>
          </a:r>
          <a:endParaRPr lang="en-US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0</xdr:row>
          <xdr:rowOff>76200</xdr:rowOff>
        </xdr:from>
        <xdr:to>
          <xdr:col>12</xdr:col>
          <xdr:colOff>1924050</xdr:colOff>
          <xdr:row>1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Current Date &amp;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7</xdr:row>
      <xdr:rowOff>95250</xdr:rowOff>
    </xdr:from>
    <xdr:to>
      <xdr:col>5</xdr:col>
      <xdr:colOff>247650</xdr:colOff>
      <xdr:row>13</xdr:row>
      <xdr:rowOff>200025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90525" y="1695450"/>
          <a:ext cx="4171950" cy="14763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444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&lt;---</a:t>
          </a:r>
          <a:r>
            <a:rPr lang="en-US" sz="1400" baseline="0"/>
            <a:t> Enter any letter, number, or symbol into the leftmost column to check off the bugs and fish that you already have.</a:t>
          </a:r>
        </a:p>
        <a:p>
          <a:endParaRPr lang="en-US" sz="1400" baseline="0"/>
        </a:p>
        <a:p>
          <a:r>
            <a:rPr lang="en-US" sz="1400" baseline="0"/>
            <a:t>If that makes sense, you may delete this text box! :)</a:t>
          </a:r>
          <a:endParaRPr lang="en-US" sz="14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1828800</xdr:colOff>
          <xdr:row>0</xdr:row>
          <xdr:rowOff>66675</xdr:rowOff>
        </xdr:from>
        <xdr:to>
          <xdr:col>14</xdr:col>
          <xdr:colOff>76200</xdr:colOff>
          <xdr:row>1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Current Date &amp;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66675</xdr:colOff>
      <xdr:row>8</xdr:row>
      <xdr:rowOff>28575</xdr:rowOff>
    </xdr:from>
    <xdr:to>
      <xdr:col>10</xdr:col>
      <xdr:colOff>1685925</xdr:colOff>
      <xdr:row>14</xdr:row>
      <xdr:rowOff>133350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28625" y="1857375"/>
          <a:ext cx="4171950" cy="147637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444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&lt;---</a:t>
          </a:r>
          <a:r>
            <a:rPr lang="en-US" sz="1400" baseline="0"/>
            <a:t> Enter any letter, number, or symbol into the leftmost column to check off the bugs and fish that you already have.</a:t>
          </a:r>
        </a:p>
        <a:p>
          <a:endParaRPr lang="en-US" sz="1400" baseline="0"/>
        </a:p>
        <a:p>
          <a:r>
            <a:rPr lang="en-US" sz="1400" baseline="0"/>
            <a:t>If that makes sense, you may delete this text box! :)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57AE9-4628-4EA3-9780-266B3C7AAD0B}">
  <sheetPr codeName="Sheet1"/>
  <dimension ref="B2:J23"/>
  <sheetViews>
    <sheetView tabSelected="1" workbookViewId="0">
      <selection activeCell="B2" sqref="B2:G2"/>
    </sheetView>
  </sheetViews>
  <sheetFormatPr defaultRowHeight="15" x14ac:dyDescent="0.25"/>
  <cols>
    <col min="1" max="1" width="9.140625" style="95" customWidth="1"/>
    <col min="2" max="2" width="3.85546875" style="95" customWidth="1"/>
    <col min="3" max="3" width="32.85546875" style="95" customWidth="1"/>
    <col min="4" max="4" width="22.140625" style="96" bestFit="1" customWidth="1"/>
    <col min="5" max="6" width="9.140625" style="95"/>
    <col min="7" max="7" width="20.5703125" style="95" customWidth="1"/>
    <col min="8" max="8" width="16.28515625" style="97" hidden="1" customWidth="1"/>
    <col min="9" max="9" width="11.5703125" style="97" hidden="1" customWidth="1"/>
    <col min="10" max="16384" width="9.140625" style="95"/>
  </cols>
  <sheetData>
    <row r="2" spans="2:10" ht="22.5" x14ac:dyDescent="0.35">
      <c r="B2" s="123" t="s">
        <v>458</v>
      </c>
      <c r="C2" s="123"/>
      <c r="D2" s="123"/>
      <c r="E2" s="123"/>
      <c r="F2" s="123"/>
      <c r="G2" s="123"/>
    </row>
    <row r="3" spans="2:10" ht="18.75" x14ac:dyDescent="0.3">
      <c r="B3" s="128" t="s">
        <v>457</v>
      </c>
      <c r="C3" s="128"/>
      <c r="D3" s="128"/>
      <c r="E3" s="128"/>
      <c r="F3" s="128"/>
      <c r="G3" s="128"/>
      <c r="H3" s="102"/>
      <c r="I3" s="102"/>
      <c r="J3" s="103"/>
    </row>
    <row r="4" spans="2:10" x14ac:dyDescent="0.25">
      <c r="B4" s="120"/>
      <c r="C4" s="120"/>
      <c r="D4" s="120"/>
      <c r="E4" s="120"/>
      <c r="F4" s="120"/>
      <c r="G4" s="120"/>
    </row>
    <row r="5" spans="2:10" ht="21" customHeight="1" x14ac:dyDescent="0.3">
      <c r="B5" s="125" t="s">
        <v>449</v>
      </c>
      <c r="C5" s="125"/>
      <c r="D5" s="125"/>
      <c r="E5" s="125"/>
      <c r="F5" s="125"/>
      <c r="G5" s="125"/>
    </row>
    <row r="6" spans="2:10" x14ac:dyDescent="0.25">
      <c r="B6" s="104"/>
      <c r="C6" s="104"/>
      <c r="D6" s="105"/>
      <c r="E6" s="104"/>
      <c r="F6" s="104"/>
      <c r="G6" s="104"/>
    </row>
    <row r="7" spans="2:10" ht="15.75" x14ac:dyDescent="0.25">
      <c r="B7" s="121" t="s">
        <v>448</v>
      </c>
      <c r="C7" s="121"/>
      <c r="D7" s="73" t="s">
        <v>290</v>
      </c>
      <c r="E7" s="126" t="s">
        <v>437</v>
      </c>
      <c r="F7" s="126"/>
      <c r="G7" s="126"/>
    </row>
    <row r="8" spans="2:10" ht="15.75" x14ac:dyDescent="0.25">
      <c r="B8" s="104"/>
      <c r="C8" s="106"/>
      <c r="D8" s="105"/>
      <c r="E8" s="104"/>
      <c r="F8" s="104"/>
      <c r="G8" s="104"/>
    </row>
    <row r="9" spans="2:10" ht="18.75" x14ac:dyDescent="0.3">
      <c r="B9" s="124" t="s">
        <v>451</v>
      </c>
      <c r="C9" s="124"/>
      <c r="D9" s="124"/>
      <c r="E9" s="124"/>
      <c r="F9" s="124"/>
      <c r="G9" s="124"/>
    </row>
    <row r="10" spans="2:10" ht="18.75" x14ac:dyDescent="0.3">
      <c r="B10" s="107" t="s">
        <v>450</v>
      </c>
      <c r="C10" s="107"/>
      <c r="D10" s="108"/>
      <c r="E10" s="108"/>
      <c r="F10" s="108"/>
      <c r="G10" s="108"/>
    </row>
    <row r="11" spans="2:10" x14ac:dyDescent="0.25">
      <c r="B11" s="109"/>
      <c r="C11" s="110"/>
      <c r="D11" s="111"/>
      <c r="E11" s="112"/>
      <c r="F11" s="104"/>
      <c r="G11" s="104"/>
    </row>
    <row r="12" spans="2:10" ht="15.75" x14ac:dyDescent="0.25">
      <c r="B12" s="109" t="b">
        <v>1</v>
      </c>
      <c r="C12" s="113" t="s">
        <v>411</v>
      </c>
      <c r="D12" s="114">
        <f ca="1">NOW()</f>
        <v>44523.564460648151</v>
      </c>
      <c r="E12" s="112"/>
      <c r="F12" s="104"/>
      <c r="G12" s="104"/>
      <c r="H12" s="97" t="str">
        <f ca="1">VLOOKUP(I12,Dropdowns!B:C,2,FALSE)</f>
        <v>November</v>
      </c>
      <c r="I12" s="97">
        <f ca="1">MONTH(D12)</f>
        <v>11</v>
      </c>
    </row>
    <row r="13" spans="2:10" x14ac:dyDescent="0.25">
      <c r="B13" s="109"/>
      <c r="C13" s="115" t="s">
        <v>436</v>
      </c>
      <c r="D13" s="115"/>
      <c r="E13" s="112"/>
      <c r="F13" s="104"/>
      <c r="G13" s="104"/>
      <c r="H13" s="97" t="str">
        <f ca="1">VLOOKUP(HOUR(D12),Dropdowns!E:F,2,FALSE)</f>
        <v>1:00pm - 2:00pm</v>
      </c>
      <c r="I13" s="98">
        <f ca="1">VLOOKUP(HOUR(D12),Dropdowns!E:G,3,FALSE)</f>
        <v>0.5625</v>
      </c>
    </row>
    <row r="14" spans="2:10" ht="15.75" x14ac:dyDescent="0.25">
      <c r="B14" s="109" t="b">
        <v>0</v>
      </c>
      <c r="C14" s="116" t="s">
        <v>410</v>
      </c>
      <c r="D14" s="117"/>
      <c r="E14" s="118"/>
      <c r="F14" s="104"/>
      <c r="G14" s="104"/>
    </row>
    <row r="15" spans="2:10" ht="15.75" x14ac:dyDescent="0.25">
      <c r="B15" s="109"/>
      <c r="C15" s="119" t="s">
        <v>291</v>
      </c>
      <c r="D15" s="100" t="s">
        <v>398</v>
      </c>
      <c r="E15" s="127" t="s">
        <v>437</v>
      </c>
      <c r="F15" s="127"/>
      <c r="G15" s="127"/>
      <c r="H15" s="99" t="str">
        <f>D15</f>
        <v>January</v>
      </c>
      <c r="I15" s="97">
        <f>VLOOKUP(D15,Dropdowns!C:D,2,FALSE)</f>
        <v>1</v>
      </c>
    </row>
    <row r="16" spans="2:10" ht="15.75" x14ac:dyDescent="0.25">
      <c r="B16" s="104"/>
      <c r="C16" s="119" t="s">
        <v>292</v>
      </c>
      <c r="D16" s="101" t="s">
        <v>414</v>
      </c>
      <c r="E16" s="127" t="s">
        <v>437</v>
      </c>
      <c r="F16" s="127"/>
      <c r="G16" s="127"/>
      <c r="H16" s="98" t="str">
        <f>D16</f>
        <v>12:00am - 1:00am</v>
      </c>
      <c r="I16" s="98">
        <f>VLOOKUP(D16,Dropdowns!F:G, 2,FALSE)</f>
        <v>2.0833333333333332E-2</v>
      </c>
    </row>
    <row r="17" spans="2:9" x14ac:dyDescent="0.25">
      <c r="B17" s="104"/>
      <c r="C17" s="104"/>
      <c r="D17" s="105"/>
      <c r="E17" s="104"/>
      <c r="F17" s="104"/>
      <c r="G17" s="104"/>
    </row>
    <row r="18" spans="2:9" x14ac:dyDescent="0.25">
      <c r="H18" s="97" t="s">
        <v>408</v>
      </c>
      <c r="I18" s="97">
        <v>11</v>
      </c>
    </row>
    <row r="19" spans="2:9" ht="15" customHeight="1" x14ac:dyDescent="0.25">
      <c r="B19" s="122" t="s">
        <v>456</v>
      </c>
      <c r="C19" s="122"/>
      <c r="D19" s="122"/>
      <c r="E19" s="122"/>
      <c r="F19" s="122"/>
      <c r="G19" s="122"/>
      <c r="H19" s="97" t="s">
        <v>425</v>
      </c>
      <c r="I19" s="98">
        <v>0.5625</v>
      </c>
    </row>
    <row r="20" spans="2:9" ht="15" customHeight="1" x14ac:dyDescent="0.25">
      <c r="B20" s="122"/>
      <c r="C20" s="122"/>
      <c r="D20" s="122"/>
      <c r="E20" s="122"/>
      <c r="F20" s="122"/>
      <c r="G20" s="122"/>
    </row>
    <row r="21" spans="2:9" ht="15" customHeight="1" x14ac:dyDescent="0.25">
      <c r="B21" s="122"/>
      <c r="C21" s="122"/>
      <c r="D21" s="122"/>
      <c r="E21" s="122"/>
      <c r="F21" s="122"/>
      <c r="G21" s="122"/>
    </row>
    <row r="22" spans="2:9" ht="15" customHeight="1" x14ac:dyDescent="0.25">
      <c r="B22" s="122"/>
      <c r="C22" s="122"/>
      <c r="D22" s="122"/>
      <c r="E22" s="122"/>
      <c r="F22" s="122"/>
      <c r="G22" s="122"/>
    </row>
    <row r="23" spans="2:9" x14ac:dyDescent="0.25">
      <c r="B23" s="122"/>
      <c r="C23" s="122"/>
      <c r="D23" s="122"/>
      <c r="E23" s="122"/>
      <c r="F23" s="122"/>
      <c r="G23" s="122"/>
    </row>
  </sheetData>
  <mergeCells count="9">
    <mergeCell ref="B7:C7"/>
    <mergeCell ref="B19:G23"/>
    <mergeCell ref="B2:G2"/>
    <mergeCell ref="B9:G9"/>
    <mergeCell ref="B5:G5"/>
    <mergeCell ref="E7:G7"/>
    <mergeCell ref="E15:G15"/>
    <mergeCell ref="E16:G16"/>
    <mergeCell ref="B3:G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Check Box 2">
              <controlPr defaultSize="0" autoFill="0" autoLine="0" autoPict="0" macro="[0]!Sheet1.ANCH_Current_Time">
                <anchor moveWithCells="1">
                  <from>
                    <xdr:col>1</xdr:col>
                    <xdr:colOff>28575</xdr:colOff>
                    <xdr:row>10</xdr:row>
                    <xdr:rowOff>190500</xdr:rowOff>
                  </from>
                  <to>
                    <xdr:col>2</xdr:col>
                    <xdr:colOff>19050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Check Box 3">
              <controlPr defaultSize="0" autoFill="0" autoLine="0" autoPict="0" macro="[0]!Sheet1.ANCH_Custom_Time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200025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6" name="Button 21">
              <controlPr defaultSize="0" print="0" autoFill="0" autoPict="0" macro="[0]!Sheet1.Update_Time">
                <anchor moveWithCells="1" sizeWithCells="1">
                  <from>
                    <xdr:col>2</xdr:col>
                    <xdr:colOff>1724025</xdr:colOff>
                    <xdr:row>23</xdr:row>
                    <xdr:rowOff>142875</xdr:rowOff>
                  </from>
                  <to>
                    <xdr:col>4</xdr:col>
                    <xdr:colOff>409575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69129CC-F5B0-43EE-8A95-A5F822E126C3}">
          <x14:formula1>
            <xm:f>Dropdowns!$F$2:$F$25</xm:f>
          </x14:formula1>
          <xm:sqref>D16</xm:sqref>
        </x14:dataValidation>
        <x14:dataValidation type="list" allowBlank="1" showInputMessage="1" showErrorMessage="1" xr:uid="{D66113EE-9BE1-46F5-9738-0528BA37B0E8}">
          <x14:formula1>
            <xm:f>Dropdowns!$A$2:$A$3</xm:f>
          </x14:formula1>
          <xm:sqref>D7</xm:sqref>
        </x14:dataValidation>
        <x14:dataValidation type="list" allowBlank="1" showInputMessage="1" showErrorMessage="1" xr:uid="{30ED1751-CB03-4258-96B1-3EE13A02E8CD}">
          <x14:formula1>
            <xm:f>Dropdowns!$C$2:$C$13</xm:f>
          </x14:formula1>
          <xm:sqref>D15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090B3-C075-48B1-B652-55631499EEC2}">
  <sheetPr codeName="Sheet3"/>
  <dimension ref="A1:AQ84"/>
  <sheetViews>
    <sheetView zoomScaleNormal="100" workbookViewId="0">
      <pane ySplit="4" topLeftCell="A5" activePane="bottomLeft" state="frozen"/>
      <selection pane="bottomLeft"/>
    </sheetView>
  </sheetViews>
  <sheetFormatPr defaultRowHeight="18" x14ac:dyDescent="0.35"/>
  <cols>
    <col min="1" max="1" width="5.42578125" style="77" customWidth="1"/>
    <col min="2" max="2" width="4.5703125" style="3" customWidth="1"/>
    <col min="3" max="3" width="30" style="2" bestFit="1" customWidth="1"/>
    <col min="4" max="4" width="27" style="2" bestFit="1" customWidth="1"/>
    <col min="5" max="5" width="10.28515625" style="3" bestFit="1" customWidth="1"/>
    <col min="6" max="9" width="6.140625" style="4" hidden="1" customWidth="1"/>
    <col min="10" max="11" width="4.5703125" style="4" hidden="1" customWidth="1"/>
    <col min="12" max="12" width="30.85546875" style="3" bestFit="1" customWidth="1"/>
    <col min="13" max="24" width="4.140625" style="5" customWidth="1"/>
    <col min="25" max="30" width="3.28515625" style="6" hidden="1" customWidth="1"/>
    <col min="31" max="31" width="87.140625" style="2" hidden="1" customWidth="1"/>
    <col min="32" max="37" width="3.28515625" style="6" hidden="1" customWidth="1"/>
    <col min="38" max="38" width="8.28515625" style="6" hidden="1" customWidth="1"/>
    <col min="39" max="40" width="8" style="6" hidden="1" customWidth="1"/>
    <col min="41" max="41" width="3.28515625" style="2" customWidth="1"/>
    <col min="42" max="42" width="4.42578125" style="2" customWidth="1"/>
    <col min="43" max="43" width="32.42578125" style="2" bestFit="1" customWidth="1"/>
    <col min="44" max="16384" width="9.140625" style="2"/>
  </cols>
  <sheetData>
    <row r="1" spans="1:43" ht="18" customHeight="1" thickTop="1" x14ac:dyDescent="0.35">
      <c r="A1" s="74"/>
      <c r="B1" s="10"/>
      <c r="C1" s="130" t="str">
        <f>CONCATENATE("Hemisphere: ", Welcome!D7)</f>
        <v>Hemisphere: North</v>
      </c>
      <c r="D1" s="12" t="str">
        <f>Welcome!H18</f>
        <v>November</v>
      </c>
      <c r="E1" s="78"/>
      <c r="F1" s="12"/>
      <c r="G1" s="78"/>
      <c r="H1" s="78"/>
      <c r="I1" s="78"/>
      <c r="J1" s="78"/>
      <c r="K1" s="78"/>
      <c r="L1" s="10"/>
      <c r="M1" s="134" t="s">
        <v>295</v>
      </c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8"/>
      <c r="Z1" s="8"/>
      <c r="AA1" s="8"/>
      <c r="AB1" s="8"/>
      <c r="AC1" s="8"/>
      <c r="AD1" s="8"/>
      <c r="AE1" s="7"/>
      <c r="AF1" s="8"/>
      <c r="AG1" s="8"/>
      <c r="AH1" s="8"/>
      <c r="AI1" s="8"/>
      <c r="AJ1" s="8"/>
      <c r="AK1" s="8"/>
      <c r="AL1" s="8"/>
      <c r="AM1" s="8"/>
      <c r="AN1" s="8"/>
      <c r="AP1" s="139"/>
      <c r="AQ1" s="140" t="s">
        <v>459</v>
      </c>
    </row>
    <row r="2" spans="1:43" ht="18" customHeight="1" x14ac:dyDescent="0.35">
      <c r="A2" s="75"/>
      <c r="B2" s="10"/>
      <c r="C2" s="131"/>
      <c r="D2" s="12" t="str">
        <f>Welcome!H19</f>
        <v>1:00pm - 2:00pm</v>
      </c>
      <c r="E2" s="68"/>
      <c r="F2" s="132">
        <f>Welcome!I19</f>
        <v>0.5625</v>
      </c>
      <c r="G2" s="132"/>
      <c r="H2" s="132"/>
      <c r="I2" s="132"/>
      <c r="J2" s="132"/>
      <c r="K2" s="132"/>
      <c r="L2" s="10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3">
        <f>Welcome!I18</f>
        <v>11</v>
      </c>
      <c r="Z2" s="133"/>
      <c r="AA2" s="133"/>
      <c r="AB2" s="133"/>
      <c r="AC2" s="133"/>
      <c r="AD2" s="133"/>
      <c r="AE2" s="7"/>
      <c r="AF2" s="129" t="str">
        <f>Welcome!D7</f>
        <v>North</v>
      </c>
      <c r="AG2" s="129"/>
      <c r="AH2" s="129"/>
      <c r="AI2" s="129"/>
      <c r="AJ2" s="129"/>
      <c r="AK2" s="129"/>
      <c r="AL2" s="69"/>
      <c r="AM2" s="69"/>
      <c r="AN2" s="91"/>
      <c r="AP2" s="141"/>
      <c r="AQ2" s="142" t="s">
        <v>460</v>
      </c>
    </row>
    <row r="3" spans="1:43" s="18" customFormat="1" ht="18" customHeight="1" x14ac:dyDescent="0.35">
      <c r="A3" s="94"/>
      <c r="B3" s="88" t="s">
        <v>145</v>
      </c>
      <c r="C3" s="31" t="s">
        <v>293</v>
      </c>
      <c r="D3" s="31" t="s">
        <v>147</v>
      </c>
      <c r="E3" s="88" t="s">
        <v>149</v>
      </c>
      <c r="F3" s="32"/>
      <c r="G3" s="32"/>
      <c r="H3" s="32"/>
      <c r="I3" s="32"/>
      <c r="J3" s="32"/>
      <c r="K3" s="32"/>
      <c r="L3" s="31" t="s">
        <v>150</v>
      </c>
      <c r="M3" s="33" t="s">
        <v>137</v>
      </c>
      <c r="N3" s="33" t="s">
        <v>138</v>
      </c>
      <c r="O3" s="33" t="s">
        <v>139</v>
      </c>
      <c r="P3" s="33" t="s">
        <v>140</v>
      </c>
      <c r="Q3" s="33" t="s">
        <v>139</v>
      </c>
      <c r="R3" s="33" t="s">
        <v>137</v>
      </c>
      <c r="S3" s="33" t="s">
        <v>137</v>
      </c>
      <c r="T3" s="33" t="s">
        <v>140</v>
      </c>
      <c r="U3" s="33" t="s">
        <v>141</v>
      </c>
      <c r="V3" s="33" t="s">
        <v>142</v>
      </c>
      <c r="W3" s="33" t="s">
        <v>143</v>
      </c>
      <c r="X3" s="33" t="s">
        <v>144</v>
      </c>
      <c r="Y3" s="31"/>
      <c r="Z3" s="31"/>
      <c r="AA3" s="31"/>
      <c r="AB3" s="31"/>
      <c r="AC3" s="31"/>
      <c r="AD3" s="31"/>
      <c r="AE3" s="31" t="s">
        <v>151</v>
      </c>
      <c r="AF3" s="31"/>
      <c r="AG3" s="31"/>
      <c r="AH3" s="31"/>
      <c r="AI3" s="31"/>
      <c r="AJ3" s="31"/>
      <c r="AK3" s="31"/>
      <c r="AL3" s="31"/>
      <c r="AM3" s="31" t="s">
        <v>290</v>
      </c>
      <c r="AN3" s="31" t="s">
        <v>397</v>
      </c>
      <c r="AP3" s="143"/>
      <c r="AQ3" s="144" t="s">
        <v>294</v>
      </c>
    </row>
    <row r="4" spans="1:43" s="34" customFormat="1" ht="18" customHeight="1" thickBot="1" x14ac:dyDescent="0.4">
      <c r="A4" s="90"/>
      <c r="B4" s="89"/>
      <c r="C4" s="86"/>
      <c r="D4" s="86"/>
      <c r="E4" s="89"/>
      <c r="F4" s="36"/>
      <c r="G4" s="36"/>
      <c r="H4" s="36"/>
      <c r="I4" s="36"/>
      <c r="J4" s="36"/>
      <c r="K4" s="36"/>
      <c r="L4" s="86"/>
      <c r="M4" s="35" t="s">
        <v>137</v>
      </c>
      <c r="N4" s="35" t="s">
        <v>138</v>
      </c>
      <c r="O4" s="35" t="s">
        <v>139</v>
      </c>
      <c r="P4" s="35" t="s">
        <v>140</v>
      </c>
      <c r="Q4" s="35" t="s">
        <v>139</v>
      </c>
      <c r="R4" s="35" t="s">
        <v>137</v>
      </c>
      <c r="S4" s="35" t="s">
        <v>137</v>
      </c>
      <c r="T4" s="35" t="s">
        <v>140</v>
      </c>
      <c r="U4" s="35" t="s">
        <v>141</v>
      </c>
      <c r="V4" s="35" t="s">
        <v>142</v>
      </c>
      <c r="W4" s="35" t="s">
        <v>143</v>
      </c>
      <c r="X4" s="35" t="s">
        <v>144</v>
      </c>
      <c r="Y4" s="35"/>
      <c r="Z4" s="35"/>
      <c r="AA4" s="35"/>
      <c r="AB4" s="35"/>
      <c r="AC4" s="35"/>
      <c r="AD4" s="35"/>
      <c r="AE4" s="35" t="s">
        <v>151</v>
      </c>
      <c r="AF4" s="35"/>
      <c r="AG4" s="35"/>
      <c r="AH4" s="35"/>
      <c r="AI4" s="35"/>
      <c r="AJ4" s="35"/>
      <c r="AK4" s="35"/>
      <c r="AL4" s="35"/>
      <c r="AM4" s="92"/>
      <c r="AN4" s="92"/>
      <c r="AP4" s="145" t="s">
        <v>438</v>
      </c>
      <c r="AQ4" s="146" t="s">
        <v>452</v>
      </c>
    </row>
    <row r="5" spans="1:43" ht="18.75" thickTop="1" x14ac:dyDescent="0.35">
      <c r="A5" s="76"/>
      <c r="B5" s="37">
        <v>1</v>
      </c>
      <c r="C5" s="38" t="s">
        <v>155</v>
      </c>
      <c r="D5" s="38" t="s">
        <v>156</v>
      </c>
      <c r="E5" s="43">
        <v>160</v>
      </c>
      <c r="F5" s="39">
        <v>0.16666666666666666</v>
      </c>
      <c r="G5" s="39">
        <v>0.79166666666666663</v>
      </c>
      <c r="H5" s="39"/>
      <c r="I5" s="39"/>
      <c r="J5" s="39"/>
      <c r="K5" s="39"/>
      <c r="L5" s="37" t="s">
        <v>157</v>
      </c>
      <c r="M5" s="40" t="s">
        <v>143</v>
      </c>
      <c r="N5" s="40" t="s">
        <v>143</v>
      </c>
      <c r="O5" s="40" t="s">
        <v>152</v>
      </c>
      <c r="P5" s="40" t="s">
        <v>152</v>
      </c>
      <c r="Q5" s="40" t="s">
        <v>152</v>
      </c>
      <c r="R5" s="40" t="s">
        <v>152</v>
      </c>
      <c r="S5" s="40" t="s">
        <v>141</v>
      </c>
      <c r="T5" s="40" t="s">
        <v>141</v>
      </c>
      <c r="U5" s="40" t="s">
        <v>152</v>
      </c>
      <c r="V5" s="40" t="s">
        <v>152</v>
      </c>
      <c r="W5" s="40" t="s">
        <v>152</v>
      </c>
      <c r="X5" s="40" t="s">
        <v>152</v>
      </c>
      <c r="Y5" s="41">
        <v>9</v>
      </c>
      <c r="Z5" s="41">
        <v>12</v>
      </c>
      <c r="AA5" s="41">
        <v>1</v>
      </c>
      <c r="AB5" s="41">
        <v>6</v>
      </c>
      <c r="AC5" s="41"/>
      <c r="AD5" s="41"/>
      <c r="AE5" s="38" t="s">
        <v>158</v>
      </c>
      <c r="AF5" s="41">
        <v>3</v>
      </c>
      <c r="AG5" s="41">
        <v>12</v>
      </c>
      <c r="AH5" s="41"/>
      <c r="AI5" s="41"/>
      <c r="AJ5" s="41"/>
      <c r="AK5" s="41"/>
      <c r="AL5" s="41" t="b">
        <f>IF(AF$2=AM$3,AM5,AN5)</f>
        <v>1</v>
      </c>
      <c r="AM5" s="41" t="b">
        <f t="shared" ref="AM5:AM36" si="0">AND(OR(AND(Y5&lt;=Y$2,Z5&gt;=Y$2), AND(AA5&lt;=Y$2,AB5&gt;=Y$2), AND(AC5&lt;=Y$2,AD5&gt;=Y$2)), OR(AND(F5&lt;=F$2, G5&gt;=F$2),AND(H5&lt;=F$2,I5&gt;=F$2),AND(J5&lt;=F$2,K5&gt;=F$2)))</f>
        <v>1</v>
      </c>
      <c r="AN5" s="41" t="b">
        <f t="shared" ref="AN5:AN36" si="1">AND(OR(AND(AF5&lt;=Y$2,AG5&gt;=Y$2), AND(AH5&lt;=Y$2,AI5&gt;=Y$2), AND(AJ5&lt;=Y$2,AK5&gt;=Y$2)), OR(AND(F5&lt;=F$2, G5&gt;=F$2),AND(H5&lt;=F$2,I5&gt;=F$2),AND(J5&lt;=F$2,K5&gt;=F$2)))</f>
        <v>1</v>
      </c>
    </row>
    <row r="6" spans="1:43" x14ac:dyDescent="0.35">
      <c r="A6" s="76"/>
      <c r="B6" s="37">
        <v>2</v>
      </c>
      <c r="C6" s="38" t="s">
        <v>159</v>
      </c>
      <c r="D6" s="38" t="s">
        <v>156</v>
      </c>
      <c r="E6" s="43">
        <v>160</v>
      </c>
      <c r="F6" s="39">
        <v>0.16666666666666666</v>
      </c>
      <c r="G6" s="39">
        <v>0.79166666666666663</v>
      </c>
      <c r="H6" s="39"/>
      <c r="I6" s="39"/>
      <c r="J6" s="39"/>
      <c r="K6" s="39"/>
      <c r="L6" s="37" t="s">
        <v>157</v>
      </c>
      <c r="M6" s="40"/>
      <c r="N6" s="40"/>
      <c r="O6" s="40" t="s">
        <v>152</v>
      </c>
      <c r="P6" s="40" t="s">
        <v>152</v>
      </c>
      <c r="Q6" s="40" t="s">
        <v>143</v>
      </c>
      <c r="R6" s="40" t="s">
        <v>143</v>
      </c>
      <c r="S6" s="40"/>
      <c r="T6" s="40"/>
      <c r="U6" s="40" t="s">
        <v>152</v>
      </c>
      <c r="V6" s="40" t="s">
        <v>152</v>
      </c>
      <c r="W6" s="40" t="s">
        <v>141</v>
      </c>
      <c r="X6" s="40" t="s">
        <v>141</v>
      </c>
      <c r="Y6" s="41">
        <v>3</v>
      </c>
      <c r="Z6" s="41">
        <v>6</v>
      </c>
      <c r="AA6" s="41">
        <v>9</v>
      </c>
      <c r="AB6" s="41">
        <v>10</v>
      </c>
      <c r="AC6" s="41"/>
      <c r="AD6" s="41"/>
      <c r="AE6" s="38" t="s">
        <v>160</v>
      </c>
      <c r="AF6" s="41">
        <v>3</v>
      </c>
      <c r="AG6" s="41">
        <v>4</v>
      </c>
      <c r="AH6" s="41">
        <v>9</v>
      </c>
      <c r="AI6" s="41">
        <v>12</v>
      </c>
      <c r="AJ6" s="41"/>
      <c r="AK6" s="41"/>
      <c r="AL6" s="41" t="b">
        <f t="shared" ref="AL6:AL69" si="2">IF(AF$2=AM$3,AM6,AN6)</f>
        <v>0</v>
      </c>
      <c r="AM6" s="41" t="b">
        <f t="shared" si="0"/>
        <v>0</v>
      </c>
      <c r="AN6" s="41" t="b">
        <f t="shared" si="1"/>
        <v>1</v>
      </c>
    </row>
    <row r="7" spans="1:43" x14ac:dyDescent="0.35">
      <c r="A7" s="76">
        <v>7</v>
      </c>
      <c r="B7" s="37">
        <v>3</v>
      </c>
      <c r="C7" s="38" t="s">
        <v>161</v>
      </c>
      <c r="D7" s="38" t="s">
        <v>156</v>
      </c>
      <c r="E7" s="43">
        <v>240</v>
      </c>
      <c r="F7" s="39">
        <v>0.16666666666666666</v>
      </c>
      <c r="G7" s="39">
        <v>0.79166666666666663</v>
      </c>
      <c r="H7" s="39"/>
      <c r="I7" s="39"/>
      <c r="J7" s="39"/>
      <c r="K7" s="39"/>
      <c r="L7" s="37" t="s">
        <v>157</v>
      </c>
      <c r="M7" s="40" t="s">
        <v>141</v>
      </c>
      <c r="N7" s="40" t="s">
        <v>141</v>
      </c>
      <c r="O7" s="40" t="s">
        <v>152</v>
      </c>
      <c r="P7" s="40" t="s">
        <v>143</v>
      </c>
      <c r="Q7" s="40" t="s">
        <v>143</v>
      </c>
      <c r="R7" s="40" t="s">
        <v>143</v>
      </c>
      <c r="S7" s="40" t="s">
        <v>143</v>
      </c>
      <c r="T7" s="40" t="s">
        <v>143</v>
      </c>
      <c r="U7" s="40" t="s">
        <v>152</v>
      </c>
      <c r="V7" s="40" t="s">
        <v>141</v>
      </c>
      <c r="W7" s="40" t="s">
        <v>141</v>
      </c>
      <c r="X7" s="40" t="s">
        <v>141</v>
      </c>
      <c r="Y7" s="41">
        <v>3</v>
      </c>
      <c r="Z7" s="41">
        <v>9</v>
      </c>
      <c r="AA7" s="41"/>
      <c r="AB7" s="41"/>
      <c r="AC7" s="41"/>
      <c r="AD7" s="41"/>
      <c r="AE7" s="38" t="s">
        <v>162</v>
      </c>
      <c r="AF7" s="41">
        <v>9</v>
      </c>
      <c r="AG7" s="41">
        <v>12</v>
      </c>
      <c r="AH7" s="41">
        <v>1</v>
      </c>
      <c r="AI7" s="41">
        <v>3</v>
      </c>
      <c r="AJ7" s="41"/>
      <c r="AK7" s="41"/>
      <c r="AL7" s="41" t="b">
        <f t="shared" si="2"/>
        <v>0</v>
      </c>
      <c r="AM7" s="41" t="b">
        <f t="shared" si="0"/>
        <v>0</v>
      </c>
      <c r="AN7" s="41" t="b">
        <f t="shared" si="1"/>
        <v>1</v>
      </c>
    </row>
    <row r="8" spans="1:43" x14ac:dyDescent="0.35">
      <c r="A8" s="76" t="s">
        <v>154</v>
      </c>
      <c r="B8" s="37">
        <v>4</v>
      </c>
      <c r="C8" s="38" t="s">
        <v>163</v>
      </c>
      <c r="D8" s="38" t="s">
        <v>164</v>
      </c>
      <c r="E8" s="43">
        <v>2500</v>
      </c>
      <c r="F8" s="39">
        <v>0.16666666666666666</v>
      </c>
      <c r="G8" s="39">
        <v>0.79166666666666663</v>
      </c>
      <c r="H8" s="39"/>
      <c r="I8" s="39"/>
      <c r="J8" s="39"/>
      <c r="K8" s="39"/>
      <c r="L8" s="37" t="s">
        <v>157</v>
      </c>
      <c r="M8" s="40"/>
      <c r="N8" s="40"/>
      <c r="O8" s="40" t="s">
        <v>143</v>
      </c>
      <c r="P8" s="40" t="s">
        <v>143</v>
      </c>
      <c r="Q8" s="40" t="s">
        <v>143</v>
      </c>
      <c r="R8" s="40" t="s">
        <v>143</v>
      </c>
      <c r="S8" s="40"/>
      <c r="T8" s="40"/>
      <c r="U8" s="40" t="s">
        <v>141</v>
      </c>
      <c r="V8" s="40" t="s">
        <v>141</v>
      </c>
      <c r="W8" s="40" t="s">
        <v>141</v>
      </c>
      <c r="X8" s="40" t="s">
        <v>141</v>
      </c>
      <c r="Y8" s="41">
        <v>3</v>
      </c>
      <c r="Z8" s="41">
        <v>6</v>
      </c>
      <c r="AA8" s="41"/>
      <c r="AB8" s="41"/>
      <c r="AC8" s="41"/>
      <c r="AD8" s="41"/>
      <c r="AE8" s="38" t="s">
        <v>165</v>
      </c>
      <c r="AF8" s="41">
        <v>9</v>
      </c>
      <c r="AG8" s="41">
        <v>12</v>
      </c>
      <c r="AH8" s="41"/>
      <c r="AI8" s="41"/>
      <c r="AJ8" s="41"/>
      <c r="AK8" s="41"/>
      <c r="AL8" s="41" t="b">
        <f t="shared" si="2"/>
        <v>0</v>
      </c>
      <c r="AM8" s="41" t="b">
        <f t="shared" si="0"/>
        <v>0</v>
      </c>
      <c r="AN8" s="41" t="b">
        <f t="shared" si="1"/>
        <v>1</v>
      </c>
    </row>
    <row r="9" spans="1:43" x14ac:dyDescent="0.35">
      <c r="A9" s="76" t="s">
        <v>447</v>
      </c>
      <c r="B9" s="37">
        <v>5</v>
      </c>
      <c r="C9" s="38" t="s">
        <v>166</v>
      </c>
      <c r="D9" s="38" t="s">
        <v>156</v>
      </c>
      <c r="E9" s="43">
        <v>300</v>
      </c>
      <c r="F9" s="39">
        <v>0.16666666666666666</v>
      </c>
      <c r="G9" s="39">
        <v>0.79166666666666663</v>
      </c>
      <c r="H9" s="39"/>
      <c r="I9" s="39"/>
      <c r="J9" s="39"/>
      <c r="K9" s="39"/>
      <c r="L9" s="37" t="s">
        <v>157</v>
      </c>
      <c r="M9" s="40" t="s">
        <v>141</v>
      </c>
      <c r="N9" s="40" t="s">
        <v>141</v>
      </c>
      <c r="O9" s="40"/>
      <c r="P9" s="40" t="s">
        <v>143</v>
      </c>
      <c r="Q9" s="40" t="s">
        <v>143</v>
      </c>
      <c r="R9" s="40" t="s">
        <v>143</v>
      </c>
      <c r="S9" s="40" t="s">
        <v>143</v>
      </c>
      <c r="T9" s="40" t="s">
        <v>143</v>
      </c>
      <c r="U9" s="40"/>
      <c r="V9" s="40" t="s">
        <v>141</v>
      </c>
      <c r="W9" s="40" t="s">
        <v>141</v>
      </c>
      <c r="X9" s="40" t="s">
        <v>141</v>
      </c>
      <c r="Y9" s="41">
        <v>4</v>
      </c>
      <c r="Z9" s="41">
        <v>8</v>
      </c>
      <c r="AA9" s="41"/>
      <c r="AB9" s="41"/>
      <c r="AC9" s="41"/>
      <c r="AD9" s="41"/>
      <c r="AE9" s="38" t="s">
        <v>53</v>
      </c>
      <c r="AF9" s="41">
        <v>10</v>
      </c>
      <c r="AG9" s="41">
        <v>12</v>
      </c>
      <c r="AH9" s="41">
        <v>1</v>
      </c>
      <c r="AI9" s="41">
        <v>2</v>
      </c>
      <c r="AJ9" s="41"/>
      <c r="AK9" s="41"/>
      <c r="AL9" s="41" t="b">
        <f t="shared" si="2"/>
        <v>0</v>
      </c>
      <c r="AM9" s="41" t="b">
        <f t="shared" si="0"/>
        <v>0</v>
      </c>
      <c r="AN9" s="41" t="b">
        <f t="shared" si="1"/>
        <v>1</v>
      </c>
    </row>
    <row r="10" spans="1:43" x14ac:dyDescent="0.35">
      <c r="A10" s="76"/>
      <c r="B10" s="37">
        <v>6</v>
      </c>
      <c r="C10" s="38" t="s">
        <v>167</v>
      </c>
      <c r="D10" s="38" t="s">
        <v>156</v>
      </c>
      <c r="E10" s="43">
        <v>1000</v>
      </c>
      <c r="F10" s="39">
        <v>0.33333333333333298</v>
      </c>
      <c r="G10" s="39">
        <v>0.79166666666666663</v>
      </c>
      <c r="H10" s="39"/>
      <c r="I10" s="39"/>
      <c r="J10" s="39"/>
      <c r="K10" s="39"/>
      <c r="L10" s="37" t="s">
        <v>168</v>
      </c>
      <c r="M10" s="40" t="s">
        <v>152</v>
      </c>
      <c r="N10" s="40" t="s">
        <v>152</v>
      </c>
      <c r="O10" s="40" t="s">
        <v>152</v>
      </c>
      <c r="P10" s="40" t="s">
        <v>152</v>
      </c>
      <c r="Q10" s="40" t="s">
        <v>152</v>
      </c>
      <c r="R10" s="40" t="s">
        <v>152</v>
      </c>
      <c r="S10" s="40" t="s">
        <v>152</v>
      </c>
      <c r="T10" s="40" t="s">
        <v>152</v>
      </c>
      <c r="U10" s="40" t="s">
        <v>152</v>
      </c>
      <c r="V10" s="40" t="s">
        <v>152</v>
      </c>
      <c r="W10" s="40" t="s">
        <v>152</v>
      </c>
      <c r="X10" s="40" t="s">
        <v>152</v>
      </c>
      <c r="Y10" s="41">
        <v>1</v>
      </c>
      <c r="Z10" s="41">
        <v>12</v>
      </c>
      <c r="AA10" s="41"/>
      <c r="AB10" s="41"/>
      <c r="AC10" s="41"/>
      <c r="AD10" s="41"/>
      <c r="AE10" s="38" t="s">
        <v>44</v>
      </c>
      <c r="AF10" s="41">
        <v>1</v>
      </c>
      <c r="AG10" s="41">
        <v>12</v>
      </c>
      <c r="AH10" s="41"/>
      <c r="AI10" s="41"/>
      <c r="AJ10" s="41"/>
      <c r="AK10" s="41"/>
      <c r="AL10" s="41" t="b">
        <f t="shared" si="2"/>
        <v>1</v>
      </c>
      <c r="AM10" s="41" t="b">
        <f t="shared" si="0"/>
        <v>1</v>
      </c>
      <c r="AN10" s="41" t="b">
        <f t="shared" si="1"/>
        <v>1</v>
      </c>
    </row>
    <row r="11" spans="1:43" x14ac:dyDescent="0.35">
      <c r="A11" s="76"/>
      <c r="B11" s="37">
        <v>7</v>
      </c>
      <c r="C11" s="38" t="s">
        <v>169</v>
      </c>
      <c r="D11" s="38" t="s">
        <v>156</v>
      </c>
      <c r="E11" s="43">
        <v>3000</v>
      </c>
      <c r="F11" s="39">
        <v>0.16666666666666666</v>
      </c>
      <c r="G11" s="39">
        <v>0.79166666666666663</v>
      </c>
      <c r="H11" s="39"/>
      <c r="I11" s="39"/>
      <c r="J11" s="39"/>
      <c r="K11" s="39"/>
      <c r="L11" s="37" t="s">
        <v>157</v>
      </c>
      <c r="M11" s="40" t="s">
        <v>141</v>
      </c>
      <c r="N11" s="40" t="s">
        <v>141</v>
      </c>
      <c r="O11" s="40"/>
      <c r="P11" s="40"/>
      <c r="Q11" s="40" t="s">
        <v>143</v>
      </c>
      <c r="R11" s="40" t="s">
        <v>143</v>
      </c>
      <c r="S11" s="40" t="s">
        <v>143</v>
      </c>
      <c r="T11" s="40" t="s">
        <v>143</v>
      </c>
      <c r="U11" s="40"/>
      <c r="V11" s="40"/>
      <c r="W11" s="40" t="s">
        <v>141</v>
      </c>
      <c r="X11" s="40" t="s">
        <v>141</v>
      </c>
      <c r="Y11" s="41">
        <v>5</v>
      </c>
      <c r="Z11" s="41">
        <v>8</v>
      </c>
      <c r="AA11" s="41"/>
      <c r="AB11" s="41"/>
      <c r="AC11" s="41"/>
      <c r="AD11" s="41"/>
      <c r="AE11" s="38" t="s">
        <v>170</v>
      </c>
      <c r="AF11" s="41">
        <v>11</v>
      </c>
      <c r="AG11" s="41">
        <v>12</v>
      </c>
      <c r="AH11" s="41">
        <v>1</v>
      </c>
      <c r="AI11" s="41">
        <v>2</v>
      </c>
      <c r="AJ11" s="41"/>
      <c r="AK11" s="41"/>
      <c r="AL11" s="41" t="b">
        <f t="shared" si="2"/>
        <v>0</v>
      </c>
      <c r="AM11" s="41" t="b">
        <f t="shared" si="0"/>
        <v>0</v>
      </c>
      <c r="AN11" s="41" t="b">
        <f t="shared" si="1"/>
        <v>1</v>
      </c>
    </row>
    <row r="12" spans="1:43" x14ac:dyDescent="0.35">
      <c r="A12" s="76"/>
      <c r="B12" s="37">
        <v>8</v>
      </c>
      <c r="C12" s="38" t="s">
        <v>349</v>
      </c>
      <c r="D12" s="38" t="s">
        <v>156</v>
      </c>
      <c r="E12" s="43">
        <v>140</v>
      </c>
      <c r="F12" s="39">
        <v>0.16666666666666666</v>
      </c>
      <c r="G12" s="39">
        <v>0.70833333333333337</v>
      </c>
      <c r="H12" s="39"/>
      <c r="I12" s="39"/>
      <c r="J12" s="39"/>
      <c r="K12" s="39"/>
      <c r="L12" s="37" t="s">
        <v>171</v>
      </c>
      <c r="M12" s="40"/>
      <c r="N12" s="40"/>
      <c r="O12" s="40" t="s">
        <v>141</v>
      </c>
      <c r="P12" s="40" t="s">
        <v>141</v>
      </c>
      <c r="Q12" s="40" t="s">
        <v>141</v>
      </c>
      <c r="R12" s="40"/>
      <c r="S12" s="40"/>
      <c r="T12" s="40"/>
      <c r="U12" s="40" t="s">
        <v>143</v>
      </c>
      <c r="V12" s="40" t="s">
        <v>143</v>
      </c>
      <c r="W12" s="40"/>
      <c r="X12" s="40"/>
      <c r="Y12" s="41">
        <v>9</v>
      </c>
      <c r="Z12" s="41">
        <v>11</v>
      </c>
      <c r="AA12" s="41"/>
      <c r="AB12" s="41"/>
      <c r="AC12" s="41"/>
      <c r="AD12" s="41"/>
      <c r="AE12" s="38" t="s">
        <v>90</v>
      </c>
      <c r="AF12" s="41">
        <v>3</v>
      </c>
      <c r="AG12" s="41">
        <v>5</v>
      </c>
      <c r="AH12" s="41"/>
      <c r="AI12" s="41"/>
      <c r="AJ12" s="41"/>
      <c r="AK12" s="41"/>
      <c r="AL12" s="41" t="b">
        <f t="shared" si="2"/>
        <v>1</v>
      </c>
      <c r="AM12" s="41" t="b">
        <f t="shared" si="0"/>
        <v>1</v>
      </c>
      <c r="AN12" s="41" t="b">
        <f t="shared" si="1"/>
        <v>0</v>
      </c>
    </row>
    <row r="13" spans="1:43" x14ac:dyDescent="0.35">
      <c r="A13" s="76"/>
      <c r="B13" s="37">
        <v>9</v>
      </c>
      <c r="C13" s="38" t="s">
        <v>172</v>
      </c>
      <c r="D13" s="38" t="s">
        <v>156</v>
      </c>
      <c r="E13" s="43">
        <v>4000</v>
      </c>
      <c r="F13" s="39">
        <v>0.70833333333333337</v>
      </c>
      <c r="G13" s="39">
        <v>0.99930555555555556</v>
      </c>
      <c r="H13" s="39">
        <v>0</v>
      </c>
      <c r="I13" s="39">
        <v>0.33333333333333331</v>
      </c>
      <c r="J13" s="39"/>
      <c r="K13" s="39"/>
      <c r="L13" s="37" t="s">
        <v>173</v>
      </c>
      <c r="M13" s="40" t="s">
        <v>152</v>
      </c>
      <c r="N13" s="40" t="s">
        <v>152</v>
      </c>
      <c r="O13" s="40" t="s">
        <v>152</v>
      </c>
      <c r="P13" s="40"/>
      <c r="Q13" s="40"/>
      <c r="R13" s="40" t="s">
        <v>152</v>
      </c>
      <c r="S13" s="40" t="s">
        <v>152</v>
      </c>
      <c r="T13" s="40" t="s">
        <v>152</v>
      </c>
      <c r="U13" s="40" t="s">
        <v>152</v>
      </c>
      <c r="V13" s="40"/>
      <c r="W13" s="40"/>
      <c r="X13" s="40" t="s">
        <v>152</v>
      </c>
      <c r="Y13" s="41">
        <v>6</v>
      </c>
      <c r="Z13" s="41">
        <v>9</v>
      </c>
      <c r="AA13" s="41"/>
      <c r="AB13" s="41"/>
      <c r="AC13" s="41"/>
      <c r="AD13" s="41"/>
      <c r="AE13" s="38" t="s">
        <v>174</v>
      </c>
      <c r="AF13" s="41">
        <v>12</v>
      </c>
      <c r="AG13" s="41">
        <v>12</v>
      </c>
      <c r="AH13" s="41">
        <v>1</v>
      </c>
      <c r="AI13" s="41">
        <v>3</v>
      </c>
      <c r="AJ13" s="41">
        <v>6</v>
      </c>
      <c r="AK13" s="41">
        <v>9</v>
      </c>
      <c r="AL13" s="41" t="b">
        <f t="shared" si="2"/>
        <v>0</v>
      </c>
      <c r="AM13" s="41" t="b">
        <f t="shared" si="0"/>
        <v>0</v>
      </c>
      <c r="AN13" s="41" t="b">
        <f t="shared" si="1"/>
        <v>0</v>
      </c>
    </row>
    <row r="14" spans="1:43" x14ac:dyDescent="0.35">
      <c r="A14" s="76"/>
      <c r="B14" s="37">
        <v>10</v>
      </c>
      <c r="C14" s="38" t="s">
        <v>175</v>
      </c>
      <c r="D14" s="38" t="s">
        <v>156</v>
      </c>
      <c r="E14" s="43">
        <v>3000</v>
      </c>
      <c r="F14" s="39">
        <v>0.33333333333333331</v>
      </c>
      <c r="G14" s="39">
        <v>0.70833333333333337</v>
      </c>
      <c r="H14" s="39"/>
      <c r="I14" s="39"/>
      <c r="J14" s="39"/>
      <c r="K14" s="39"/>
      <c r="L14" s="37" t="s">
        <v>176</v>
      </c>
      <c r="M14" s="40" t="s">
        <v>141</v>
      </c>
      <c r="N14" s="40" t="s">
        <v>141</v>
      </c>
      <c r="O14" s="40" t="s">
        <v>141</v>
      </c>
      <c r="P14" s="40" t="s">
        <v>143</v>
      </c>
      <c r="Q14" s="40" t="s">
        <v>143</v>
      </c>
      <c r="R14" s="40" t="s">
        <v>143</v>
      </c>
      <c r="S14" s="40" t="s">
        <v>143</v>
      </c>
      <c r="T14" s="40" t="s">
        <v>143</v>
      </c>
      <c r="U14" s="40" t="s">
        <v>143</v>
      </c>
      <c r="V14" s="40"/>
      <c r="W14" s="40" t="s">
        <v>141</v>
      </c>
      <c r="X14" s="40" t="s">
        <v>141</v>
      </c>
      <c r="Y14" s="41">
        <v>4</v>
      </c>
      <c r="Z14" s="41">
        <v>9</v>
      </c>
      <c r="AA14" s="41"/>
      <c r="AB14" s="41"/>
      <c r="AC14" s="41"/>
      <c r="AD14" s="41"/>
      <c r="AE14" s="38" t="s">
        <v>177</v>
      </c>
      <c r="AF14" s="41">
        <v>11</v>
      </c>
      <c r="AG14" s="41">
        <v>12</v>
      </c>
      <c r="AH14" s="41">
        <v>1</v>
      </c>
      <c r="AI14" s="41">
        <v>3</v>
      </c>
      <c r="AJ14" s="41"/>
      <c r="AK14" s="41"/>
      <c r="AL14" s="41" t="b">
        <f t="shared" si="2"/>
        <v>0</v>
      </c>
      <c r="AM14" s="41" t="b">
        <f t="shared" si="0"/>
        <v>0</v>
      </c>
      <c r="AN14" s="41" t="b">
        <f t="shared" si="1"/>
        <v>1</v>
      </c>
    </row>
    <row r="15" spans="1:43" x14ac:dyDescent="0.35">
      <c r="A15" s="76"/>
      <c r="B15" s="37">
        <v>11</v>
      </c>
      <c r="C15" s="38" t="s">
        <v>178</v>
      </c>
      <c r="D15" s="38" t="s">
        <v>179</v>
      </c>
      <c r="E15" s="43">
        <v>2500</v>
      </c>
      <c r="F15" s="39">
        <v>0.33333333333333331</v>
      </c>
      <c r="G15" s="39">
        <v>0.70833333333333337</v>
      </c>
      <c r="H15" s="39"/>
      <c r="I15" s="39"/>
      <c r="J15" s="39"/>
      <c r="K15" s="39"/>
      <c r="L15" s="37" t="s">
        <v>176</v>
      </c>
      <c r="M15" s="40" t="s">
        <v>152</v>
      </c>
      <c r="N15" s="40" t="s">
        <v>152</v>
      </c>
      <c r="O15" s="40" t="s">
        <v>141</v>
      </c>
      <c r="P15" s="40" t="s">
        <v>143</v>
      </c>
      <c r="Q15" s="40" t="s">
        <v>143</v>
      </c>
      <c r="R15" s="40" t="s">
        <v>152</v>
      </c>
      <c r="S15" s="40" t="s">
        <v>152</v>
      </c>
      <c r="T15" s="40" t="s">
        <v>152</v>
      </c>
      <c r="U15" s="40" t="s">
        <v>143</v>
      </c>
      <c r="V15" s="40"/>
      <c r="W15" s="40" t="s">
        <v>141</v>
      </c>
      <c r="X15" s="40" t="s">
        <v>152</v>
      </c>
      <c r="Y15" s="41">
        <v>4</v>
      </c>
      <c r="Z15" s="41">
        <v>9</v>
      </c>
      <c r="AA15" s="41">
        <v>12</v>
      </c>
      <c r="AB15" s="41">
        <v>12</v>
      </c>
      <c r="AC15" s="41">
        <v>1</v>
      </c>
      <c r="AD15" s="41">
        <v>2</v>
      </c>
      <c r="AE15" s="38" t="s">
        <v>180</v>
      </c>
      <c r="AF15" s="41">
        <v>11</v>
      </c>
      <c r="AG15" s="41">
        <v>12</v>
      </c>
      <c r="AH15" s="41">
        <v>1</v>
      </c>
      <c r="AI15" s="41">
        <v>3</v>
      </c>
      <c r="AJ15" s="41">
        <v>6</v>
      </c>
      <c r="AK15" s="41">
        <v>8</v>
      </c>
      <c r="AL15" s="41" t="b">
        <f t="shared" si="2"/>
        <v>0</v>
      </c>
      <c r="AM15" s="41" t="b">
        <f t="shared" si="0"/>
        <v>0</v>
      </c>
      <c r="AN15" s="41" t="b">
        <f t="shared" si="1"/>
        <v>1</v>
      </c>
    </row>
    <row r="16" spans="1:43" x14ac:dyDescent="0.35">
      <c r="A16" s="76"/>
      <c r="B16" s="37">
        <v>12</v>
      </c>
      <c r="C16" s="38" t="s">
        <v>181</v>
      </c>
      <c r="D16" s="38" t="s">
        <v>156</v>
      </c>
      <c r="E16" s="43">
        <v>4000</v>
      </c>
      <c r="F16" s="39">
        <v>0.33333333333333331</v>
      </c>
      <c r="G16" s="39">
        <v>0.66666666666666663</v>
      </c>
      <c r="H16" s="39"/>
      <c r="I16" s="39"/>
      <c r="J16" s="39"/>
      <c r="K16" s="39"/>
      <c r="L16" s="37" t="s">
        <v>182</v>
      </c>
      <c r="M16" s="40" t="s">
        <v>141</v>
      </c>
      <c r="N16" s="40" t="s">
        <v>141</v>
      </c>
      <c r="O16" s="40" t="s">
        <v>141</v>
      </c>
      <c r="P16" s="40"/>
      <c r="Q16" s="40" t="s">
        <v>143</v>
      </c>
      <c r="R16" s="40" t="s">
        <v>143</v>
      </c>
      <c r="S16" s="40" t="s">
        <v>143</v>
      </c>
      <c r="T16" s="40" t="s">
        <v>143</v>
      </c>
      <c r="U16" s="40" t="s">
        <v>143</v>
      </c>
      <c r="V16" s="40"/>
      <c r="W16" s="40" t="s">
        <v>141</v>
      </c>
      <c r="X16" s="40" t="s">
        <v>141</v>
      </c>
      <c r="Y16" s="41">
        <v>5</v>
      </c>
      <c r="Z16" s="41">
        <v>9</v>
      </c>
      <c r="AA16" s="41"/>
      <c r="AB16" s="41"/>
      <c r="AC16" s="41"/>
      <c r="AD16" s="41"/>
      <c r="AE16" s="38" t="s">
        <v>92</v>
      </c>
      <c r="AF16" s="41">
        <v>11</v>
      </c>
      <c r="AG16" s="41">
        <v>12</v>
      </c>
      <c r="AH16" s="41">
        <v>1</v>
      </c>
      <c r="AI16" s="41">
        <v>3</v>
      </c>
      <c r="AJ16" s="41"/>
      <c r="AK16" s="41"/>
      <c r="AL16" s="41" t="b">
        <f t="shared" si="2"/>
        <v>0</v>
      </c>
      <c r="AM16" s="41" t="b">
        <f t="shared" si="0"/>
        <v>0</v>
      </c>
      <c r="AN16" s="41" t="b">
        <f t="shared" si="1"/>
        <v>1</v>
      </c>
    </row>
    <row r="17" spans="1:40" x14ac:dyDescent="0.35">
      <c r="A17" s="76"/>
      <c r="B17" s="37">
        <v>13</v>
      </c>
      <c r="C17" s="38" t="s">
        <v>183</v>
      </c>
      <c r="D17" s="38" t="s">
        <v>184</v>
      </c>
      <c r="E17" s="43">
        <v>130</v>
      </c>
      <c r="F17" s="39">
        <v>0.79166666666666663</v>
      </c>
      <c r="G17" s="39">
        <v>0.99930555555555556</v>
      </c>
      <c r="H17" s="39">
        <v>0</v>
      </c>
      <c r="I17" s="39">
        <v>0.16666666666666666</v>
      </c>
      <c r="J17" s="39"/>
      <c r="K17" s="39"/>
      <c r="L17" s="37" t="s">
        <v>185</v>
      </c>
      <c r="M17" s="40" t="s">
        <v>152</v>
      </c>
      <c r="N17" s="40" t="s">
        <v>152</v>
      </c>
      <c r="O17" s="40" t="s">
        <v>152</v>
      </c>
      <c r="P17" s="40" t="s">
        <v>152</v>
      </c>
      <c r="Q17" s="40" t="s">
        <v>152</v>
      </c>
      <c r="R17" s="40" t="s">
        <v>152</v>
      </c>
      <c r="S17" s="40" t="s">
        <v>152</v>
      </c>
      <c r="T17" s="40" t="s">
        <v>152</v>
      </c>
      <c r="U17" s="40" t="s">
        <v>152</v>
      </c>
      <c r="V17" s="40" t="s">
        <v>152</v>
      </c>
      <c r="W17" s="40" t="s">
        <v>152</v>
      </c>
      <c r="X17" s="40" t="s">
        <v>152</v>
      </c>
      <c r="Y17" s="41">
        <v>1</v>
      </c>
      <c r="Z17" s="41">
        <v>12</v>
      </c>
      <c r="AA17" s="41"/>
      <c r="AB17" s="41"/>
      <c r="AC17" s="41"/>
      <c r="AD17" s="41"/>
      <c r="AE17" s="38" t="s">
        <v>44</v>
      </c>
      <c r="AF17" s="41">
        <v>1</v>
      </c>
      <c r="AG17" s="41">
        <v>12</v>
      </c>
      <c r="AH17" s="41"/>
      <c r="AI17" s="41"/>
      <c r="AJ17" s="41"/>
      <c r="AK17" s="41"/>
      <c r="AL17" s="41" t="b">
        <f t="shared" si="2"/>
        <v>0</v>
      </c>
      <c r="AM17" s="41" t="b">
        <f t="shared" si="0"/>
        <v>0</v>
      </c>
      <c r="AN17" s="41" t="b">
        <f t="shared" si="1"/>
        <v>0</v>
      </c>
    </row>
    <row r="18" spans="1:40" x14ac:dyDescent="0.35">
      <c r="A18" s="76"/>
      <c r="B18" s="37">
        <v>14</v>
      </c>
      <c r="C18" s="38" t="s">
        <v>186</v>
      </c>
      <c r="D18" s="38" t="s">
        <v>187</v>
      </c>
      <c r="E18" s="43">
        <v>3000</v>
      </c>
      <c r="F18" s="39">
        <v>0.79166666666666663</v>
      </c>
      <c r="G18" s="39">
        <v>0.99930555555555556</v>
      </c>
      <c r="H18" s="39">
        <v>0</v>
      </c>
      <c r="I18" s="39">
        <v>0.16666666666666666</v>
      </c>
      <c r="J18" s="39"/>
      <c r="K18" s="39"/>
      <c r="L18" s="37" t="s">
        <v>185</v>
      </c>
      <c r="M18" s="40" t="s">
        <v>141</v>
      </c>
      <c r="N18" s="40" t="s">
        <v>141</v>
      </c>
      <c r="O18" s="40" t="s">
        <v>141</v>
      </c>
      <c r="P18" s="40" t="s">
        <v>143</v>
      </c>
      <c r="Q18" s="40" t="s">
        <v>143</v>
      </c>
      <c r="R18" s="40" t="s">
        <v>143</v>
      </c>
      <c r="S18" s="40" t="s">
        <v>143</v>
      </c>
      <c r="T18" s="40" t="s">
        <v>143</v>
      </c>
      <c r="U18" s="40" t="s">
        <v>143</v>
      </c>
      <c r="V18" s="40" t="s">
        <v>141</v>
      </c>
      <c r="W18" s="40" t="s">
        <v>141</v>
      </c>
      <c r="X18" s="40" t="s">
        <v>141</v>
      </c>
      <c r="Y18" s="41">
        <v>4</v>
      </c>
      <c r="Z18" s="41">
        <v>9</v>
      </c>
      <c r="AA18" s="41"/>
      <c r="AB18" s="41"/>
      <c r="AC18" s="41"/>
      <c r="AD18" s="41"/>
      <c r="AE18" s="38" t="s">
        <v>54</v>
      </c>
      <c r="AF18" s="41">
        <v>10</v>
      </c>
      <c r="AG18" s="41">
        <v>12</v>
      </c>
      <c r="AH18" s="41">
        <v>1</v>
      </c>
      <c r="AI18" s="41">
        <v>3</v>
      </c>
      <c r="AJ18" s="41"/>
      <c r="AK18" s="41"/>
      <c r="AL18" s="41" t="b">
        <f t="shared" si="2"/>
        <v>0</v>
      </c>
      <c r="AM18" s="41" t="b">
        <f t="shared" si="0"/>
        <v>0</v>
      </c>
      <c r="AN18" s="41" t="b">
        <f t="shared" si="1"/>
        <v>0</v>
      </c>
    </row>
    <row r="19" spans="1:40" x14ac:dyDescent="0.35">
      <c r="A19" s="76"/>
      <c r="B19" s="37">
        <v>15</v>
      </c>
      <c r="C19" s="38" t="s">
        <v>188</v>
      </c>
      <c r="D19" s="38" t="s">
        <v>156</v>
      </c>
      <c r="E19" s="43">
        <v>2500</v>
      </c>
      <c r="F19" s="39">
        <v>0.33333333333333331</v>
      </c>
      <c r="G19" s="39">
        <v>0.66666666666666663</v>
      </c>
      <c r="H19" s="39"/>
      <c r="I19" s="39"/>
      <c r="J19" s="39"/>
      <c r="K19" s="39"/>
      <c r="L19" s="37" t="s">
        <v>182</v>
      </c>
      <c r="M19" s="40" t="s">
        <v>141</v>
      </c>
      <c r="N19" s="40" t="s">
        <v>141</v>
      </c>
      <c r="O19" s="40" t="s">
        <v>141</v>
      </c>
      <c r="P19" s="40" t="s">
        <v>143</v>
      </c>
      <c r="Q19" s="40" t="s">
        <v>143</v>
      </c>
      <c r="R19" s="40" t="s">
        <v>143</v>
      </c>
      <c r="S19" s="40" t="s">
        <v>143</v>
      </c>
      <c r="T19" s="40" t="s">
        <v>143</v>
      </c>
      <c r="U19" s="40" t="s">
        <v>143</v>
      </c>
      <c r="V19" s="40" t="s">
        <v>141</v>
      </c>
      <c r="W19" s="40" t="s">
        <v>141</v>
      </c>
      <c r="X19" s="40" t="s">
        <v>141</v>
      </c>
      <c r="Y19" s="41">
        <v>4</v>
      </c>
      <c r="Z19" s="41">
        <v>9</v>
      </c>
      <c r="AA19" s="41"/>
      <c r="AB19" s="41"/>
      <c r="AC19" s="41"/>
      <c r="AD19" s="41"/>
      <c r="AE19" s="38" t="s">
        <v>54</v>
      </c>
      <c r="AF19" s="41">
        <v>10</v>
      </c>
      <c r="AG19" s="41">
        <v>12</v>
      </c>
      <c r="AH19" s="41">
        <v>1</v>
      </c>
      <c r="AI19" s="41">
        <v>3</v>
      </c>
      <c r="AJ19" s="41"/>
      <c r="AK19" s="41"/>
      <c r="AL19" s="41" t="b">
        <f t="shared" si="2"/>
        <v>0</v>
      </c>
      <c r="AM19" s="41" t="b">
        <f t="shared" si="0"/>
        <v>0</v>
      </c>
      <c r="AN19" s="41" t="b">
        <f t="shared" si="1"/>
        <v>1</v>
      </c>
    </row>
    <row r="20" spans="1:40" x14ac:dyDescent="0.35">
      <c r="A20" s="76"/>
      <c r="B20" s="37">
        <v>16</v>
      </c>
      <c r="C20" s="38" t="s">
        <v>189</v>
      </c>
      <c r="D20" s="38" t="s">
        <v>190</v>
      </c>
      <c r="E20" s="43">
        <v>200</v>
      </c>
      <c r="F20" s="39">
        <v>0.33333333333333298</v>
      </c>
      <c r="G20" s="39">
        <v>0.79166666666666663</v>
      </c>
      <c r="H20" s="39"/>
      <c r="I20" s="39"/>
      <c r="J20" s="39"/>
      <c r="K20" s="39"/>
      <c r="L20" s="37" t="s">
        <v>168</v>
      </c>
      <c r="M20" s="40" t="s">
        <v>141</v>
      </c>
      <c r="N20" s="40" t="s">
        <v>141</v>
      </c>
      <c r="O20" s="40" t="s">
        <v>141</v>
      </c>
      <c r="P20" s="40" t="s">
        <v>152</v>
      </c>
      <c r="Q20" s="40" t="s">
        <v>152</v>
      </c>
      <c r="R20" s="40" t="s">
        <v>143</v>
      </c>
      <c r="S20" s="40" t="s">
        <v>143</v>
      </c>
      <c r="T20" s="40" t="s">
        <v>143</v>
      </c>
      <c r="U20" s="40" t="s">
        <v>143</v>
      </c>
      <c r="V20" s="40" t="s">
        <v>143</v>
      </c>
      <c r="W20" s="40" t="s">
        <v>152</v>
      </c>
      <c r="X20" s="40" t="s">
        <v>141</v>
      </c>
      <c r="Y20" s="41">
        <v>4</v>
      </c>
      <c r="Z20" s="41">
        <v>11</v>
      </c>
      <c r="AA20" s="41"/>
      <c r="AB20" s="41"/>
      <c r="AC20" s="41"/>
      <c r="AD20" s="41"/>
      <c r="AE20" s="38" t="s">
        <v>191</v>
      </c>
      <c r="AF20" s="41">
        <v>11</v>
      </c>
      <c r="AG20" s="41">
        <v>12</v>
      </c>
      <c r="AH20" s="41">
        <v>1</v>
      </c>
      <c r="AI20" s="41">
        <v>5</v>
      </c>
      <c r="AJ20" s="41"/>
      <c r="AK20" s="41"/>
      <c r="AL20" s="41" t="b">
        <f t="shared" si="2"/>
        <v>1</v>
      </c>
      <c r="AM20" s="41" t="b">
        <f t="shared" si="0"/>
        <v>1</v>
      </c>
      <c r="AN20" s="41" t="b">
        <f t="shared" si="1"/>
        <v>1</v>
      </c>
    </row>
    <row r="21" spans="1:40" x14ac:dyDescent="0.35">
      <c r="A21" s="76"/>
      <c r="B21" s="37">
        <v>17</v>
      </c>
      <c r="C21" s="38" t="s">
        <v>192</v>
      </c>
      <c r="D21" s="38" t="s">
        <v>190</v>
      </c>
      <c r="E21" s="43">
        <v>600</v>
      </c>
      <c r="F21" s="39">
        <v>0.33333333333333298</v>
      </c>
      <c r="G21" s="39">
        <v>0.79166666666666696</v>
      </c>
      <c r="H21" s="39"/>
      <c r="I21" s="39"/>
      <c r="J21" s="39"/>
      <c r="K21" s="39"/>
      <c r="L21" s="37" t="s">
        <v>168</v>
      </c>
      <c r="M21" s="40"/>
      <c r="N21" s="40" t="s">
        <v>141</v>
      </c>
      <c r="O21" s="40" t="s">
        <v>141</v>
      </c>
      <c r="P21" s="40" t="s">
        <v>141</v>
      </c>
      <c r="Q21" s="40" t="s">
        <v>141</v>
      </c>
      <c r="R21" s="40"/>
      <c r="S21" s="40"/>
      <c r="T21" s="40" t="s">
        <v>143</v>
      </c>
      <c r="U21" s="40" t="s">
        <v>143</v>
      </c>
      <c r="V21" s="40" t="s">
        <v>143</v>
      </c>
      <c r="W21" s="40" t="s">
        <v>143</v>
      </c>
      <c r="X21" s="40"/>
      <c r="Y21" s="41">
        <v>8</v>
      </c>
      <c r="Z21" s="41">
        <v>11</v>
      </c>
      <c r="AA21" s="41"/>
      <c r="AB21" s="41"/>
      <c r="AC21" s="41"/>
      <c r="AD21" s="41"/>
      <c r="AE21" s="38" t="s">
        <v>128</v>
      </c>
      <c r="AF21" s="41">
        <v>2</v>
      </c>
      <c r="AG21" s="41">
        <v>5</v>
      </c>
      <c r="AH21" s="41"/>
      <c r="AI21" s="41"/>
      <c r="AJ21" s="41"/>
      <c r="AK21" s="41"/>
      <c r="AL21" s="41" t="b">
        <f t="shared" si="2"/>
        <v>1</v>
      </c>
      <c r="AM21" s="41" t="b">
        <f t="shared" si="0"/>
        <v>1</v>
      </c>
      <c r="AN21" s="41" t="b">
        <f t="shared" si="1"/>
        <v>0</v>
      </c>
    </row>
    <row r="22" spans="1:40" x14ac:dyDescent="0.35">
      <c r="A22" s="76"/>
      <c r="B22" s="37">
        <v>18</v>
      </c>
      <c r="C22" s="38" t="s">
        <v>193</v>
      </c>
      <c r="D22" s="38" t="s">
        <v>190</v>
      </c>
      <c r="E22" s="43">
        <v>160</v>
      </c>
      <c r="F22" s="39">
        <v>0.33333333333333298</v>
      </c>
      <c r="G22" s="39">
        <v>0.79166666666666696</v>
      </c>
      <c r="H22" s="39"/>
      <c r="I22" s="39"/>
      <c r="J22" s="39"/>
      <c r="K22" s="39"/>
      <c r="L22" s="37" t="s">
        <v>168</v>
      </c>
      <c r="M22" s="40"/>
      <c r="N22" s="40" t="s">
        <v>141</v>
      </c>
      <c r="O22" s="40" t="s">
        <v>141</v>
      </c>
      <c r="P22" s="40" t="s">
        <v>141</v>
      </c>
      <c r="Q22" s="40" t="s">
        <v>141</v>
      </c>
      <c r="R22" s="40"/>
      <c r="S22" s="40"/>
      <c r="T22" s="40" t="s">
        <v>143</v>
      </c>
      <c r="U22" s="40" t="s">
        <v>143</v>
      </c>
      <c r="V22" s="40" t="s">
        <v>143</v>
      </c>
      <c r="W22" s="40" t="s">
        <v>143</v>
      </c>
      <c r="X22" s="40"/>
      <c r="Y22" s="41">
        <v>8</v>
      </c>
      <c r="Z22" s="41">
        <v>11</v>
      </c>
      <c r="AA22" s="41"/>
      <c r="AB22" s="41"/>
      <c r="AC22" s="41"/>
      <c r="AD22" s="41"/>
      <c r="AE22" s="38" t="s">
        <v>128</v>
      </c>
      <c r="AF22" s="41">
        <v>2</v>
      </c>
      <c r="AG22" s="41">
        <v>5</v>
      </c>
      <c r="AH22" s="41"/>
      <c r="AI22" s="41"/>
      <c r="AJ22" s="41"/>
      <c r="AK22" s="41"/>
      <c r="AL22" s="41" t="b">
        <f t="shared" si="2"/>
        <v>1</v>
      </c>
      <c r="AM22" s="41" t="b">
        <f t="shared" si="0"/>
        <v>1</v>
      </c>
      <c r="AN22" s="41" t="b">
        <f t="shared" si="1"/>
        <v>0</v>
      </c>
    </row>
    <row r="23" spans="1:40" x14ac:dyDescent="0.35">
      <c r="A23" s="76"/>
      <c r="B23" s="37">
        <v>19</v>
      </c>
      <c r="C23" s="38" t="s">
        <v>194</v>
      </c>
      <c r="D23" s="38" t="s">
        <v>190</v>
      </c>
      <c r="E23" s="43">
        <v>160</v>
      </c>
      <c r="F23" s="39">
        <v>0.33333333333333298</v>
      </c>
      <c r="G23" s="39">
        <v>0.70833333333333304</v>
      </c>
      <c r="H23" s="39"/>
      <c r="I23" s="39"/>
      <c r="J23" s="39"/>
      <c r="K23" s="39"/>
      <c r="L23" s="37" t="s">
        <v>176</v>
      </c>
      <c r="M23" s="40" t="s">
        <v>141</v>
      </c>
      <c r="N23" s="40" t="s">
        <v>141</v>
      </c>
      <c r="O23" s="40" t="s">
        <v>141</v>
      </c>
      <c r="P23" s="40"/>
      <c r="Q23" s="40"/>
      <c r="R23" s="40"/>
      <c r="S23" s="40" t="s">
        <v>143</v>
      </c>
      <c r="T23" s="40" t="s">
        <v>143</v>
      </c>
      <c r="U23" s="40" t="s">
        <v>143</v>
      </c>
      <c r="V23" s="40"/>
      <c r="W23" s="40"/>
      <c r="X23" s="40"/>
      <c r="Y23" s="41">
        <v>7</v>
      </c>
      <c r="Z23" s="41">
        <v>9</v>
      </c>
      <c r="AA23" s="41"/>
      <c r="AB23" s="41"/>
      <c r="AC23" s="41"/>
      <c r="AD23" s="41"/>
      <c r="AE23" s="38" t="s">
        <v>75</v>
      </c>
      <c r="AF23" s="41">
        <v>1</v>
      </c>
      <c r="AG23" s="41">
        <v>3</v>
      </c>
      <c r="AH23" s="41"/>
      <c r="AI23" s="41"/>
      <c r="AJ23" s="41"/>
      <c r="AK23" s="41"/>
      <c r="AL23" s="41" t="b">
        <f t="shared" si="2"/>
        <v>0</v>
      </c>
      <c r="AM23" s="41" t="b">
        <f t="shared" si="0"/>
        <v>0</v>
      </c>
      <c r="AN23" s="41" t="b">
        <f t="shared" si="1"/>
        <v>0</v>
      </c>
    </row>
    <row r="24" spans="1:40" x14ac:dyDescent="0.35">
      <c r="A24" s="76"/>
      <c r="B24" s="37">
        <v>20</v>
      </c>
      <c r="C24" s="38" t="s">
        <v>195</v>
      </c>
      <c r="D24" s="38" t="s">
        <v>190</v>
      </c>
      <c r="E24" s="43">
        <v>130</v>
      </c>
      <c r="F24" s="39">
        <v>0.70833333333333337</v>
      </c>
      <c r="G24" s="39">
        <v>0.99930555555555556</v>
      </c>
      <c r="H24" s="39">
        <v>0</v>
      </c>
      <c r="I24" s="39">
        <v>0.33333333333333331</v>
      </c>
      <c r="J24" s="39"/>
      <c r="K24" s="39"/>
      <c r="L24" s="37" t="s">
        <v>173</v>
      </c>
      <c r="M24" s="40"/>
      <c r="N24" s="40"/>
      <c r="O24" s="40" t="s">
        <v>141</v>
      </c>
      <c r="P24" s="40" t="s">
        <v>141</v>
      </c>
      <c r="Q24" s="40" t="s">
        <v>141</v>
      </c>
      <c r="R24" s="40"/>
      <c r="S24" s="40"/>
      <c r="T24" s="40"/>
      <c r="U24" s="40" t="s">
        <v>143</v>
      </c>
      <c r="V24" s="40" t="s">
        <v>143</v>
      </c>
      <c r="W24" s="40"/>
      <c r="X24" s="40"/>
      <c r="Y24" s="41">
        <v>9</v>
      </c>
      <c r="Z24" s="41">
        <v>11</v>
      </c>
      <c r="AA24" s="41"/>
      <c r="AB24" s="41"/>
      <c r="AC24" s="41"/>
      <c r="AD24" s="41"/>
      <c r="AE24" s="38" t="s">
        <v>90</v>
      </c>
      <c r="AF24" s="41">
        <v>3</v>
      </c>
      <c r="AG24" s="41">
        <v>5</v>
      </c>
      <c r="AH24" s="41"/>
      <c r="AI24" s="41"/>
      <c r="AJ24" s="41"/>
      <c r="AK24" s="41"/>
      <c r="AL24" s="41" t="b">
        <f t="shared" si="2"/>
        <v>0</v>
      </c>
      <c r="AM24" s="41" t="b">
        <f t="shared" si="0"/>
        <v>0</v>
      </c>
      <c r="AN24" s="41" t="b">
        <f t="shared" si="1"/>
        <v>0</v>
      </c>
    </row>
    <row r="25" spans="1:40" x14ac:dyDescent="0.35">
      <c r="A25" s="76"/>
      <c r="B25" s="37">
        <v>21</v>
      </c>
      <c r="C25" s="38" t="s">
        <v>196</v>
      </c>
      <c r="D25" s="38" t="s">
        <v>190</v>
      </c>
      <c r="E25" s="43">
        <v>430</v>
      </c>
      <c r="F25" s="39">
        <v>0.70833333333333337</v>
      </c>
      <c r="G25" s="39">
        <v>0.99930555555555556</v>
      </c>
      <c r="H25" s="39">
        <v>0</v>
      </c>
      <c r="I25" s="39">
        <v>0.33333333333333331</v>
      </c>
      <c r="J25" s="39"/>
      <c r="K25" s="39"/>
      <c r="L25" s="37" t="s">
        <v>173</v>
      </c>
      <c r="M25" s="40"/>
      <c r="N25" s="40"/>
      <c r="O25" s="40" t="s">
        <v>141</v>
      </c>
      <c r="P25" s="40" t="s">
        <v>141</v>
      </c>
      <c r="Q25" s="40"/>
      <c r="R25" s="40"/>
      <c r="S25" s="40"/>
      <c r="T25" s="40"/>
      <c r="U25" s="40" t="s">
        <v>143</v>
      </c>
      <c r="V25" s="40" t="s">
        <v>143</v>
      </c>
      <c r="W25" s="40" t="s">
        <v>143</v>
      </c>
      <c r="X25" s="40"/>
      <c r="Y25" s="41">
        <v>9</v>
      </c>
      <c r="Z25" s="41">
        <v>10</v>
      </c>
      <c r="AA25" s="41"/>
      <c r="AB25" s="41"/>
      <c r="AC25" s="41"/>
      <c r="AD25" s="41"/>
      <c r="AE25" s="38" t="s">
        <v>197</v>
      </c>
      <c r="AF25" s="41">
        <v>3</v>
      </c>
      <c r="AG25" s="41">
        <v>4</v>
      </c>
      <c r="AH25" s="41"/>
      <c r="AI25" s="41"/>
      <c r="AJ25" s="41"/>
      <c r="AK25" s="41"/>
      <c r="AL25" s="41" t="b">
        <f t="shared" si="2"/>
        <v>0</v>
      </c>
      <c r="AM25" s="41" t="b">
        <f t="shared" si="0"/>
        <v>0</v>
      </c>
      <c r="AN25" s="41" t="b">
        <f t="shared" si="1"/>
        <v>0</v>
      </c>
    </row>
    <row r="26" spans="1:40" x14ac:dyDescent="0.35">
      <c r="A26" s="76"/>
      <c r="B26" s="37">
        <v>22</v>
      </c>
      <c r="C26" s="38" t="s">
        <v>198</v>
      </c>
      <c r="D26" s="38" t="s">
        <v>199</v>
      </c>
      <c r="E26" s="43">
        <v>430</v>
      </c>
      <c r="F26" s="39">
        <v>0.33333333333333298</v>
      </c>
      <c r="G26" s="39">
        <v>0.70833333333333304</v>
      </c>
      <c r="H26" s="39"/>
      <c r="I26" s="39"/>
      <c r="J26" s="39"/>
      <c r="K26" s="39"/>
      <c r="L26" s="37" t="s">
        <v>176</v>
      </c>
      <c r="M26" s="40" t="s">
        <v>141</v>
      </c>
      <c r="N26" s="40" t="s">
        <v>141</v>
      </c>
      <c r="O26" s="40" t="s">
        <v>152</v>
      </c>
      <c r="P26" s="40" t="s">
        <v>152</v>
      </c>
      <c r="Q26" s="40" t="s">
        <v>152</v>
      </c>
      <c r="R26" s="40" t="s">
        <v>143</v>
      </c>
      <c r="S26" s="40" t="s">
        <v>143</v>
      </c>
      <c r="T26" s="40" t="s">
        <v>143</v>
      </c>
      <c r="U26" s="40" t="s">
        <v>152</v>
      </c>
      <c r="V26" s="40" t="s">
        <v>152</v>
      </c>
      <c r="W26" s="40" t="s">
        <v>152</v>
      </c>
      <c r="X26" s="40" t="s">
        <v>141</v>
      </c>
      <c r="Y26" s="41">
        <v>3</v>
      </c>
      <c r="Z26" s="41">
        <v>11</v>
      </c>
      <c r="AA26" s="41"/>
      <c r="AB26" s="41"/>
      <c r="AC26" s="41"/>
      <c r="AD26" s="41"/>
      <c r="AE26" s="38" t="s">
        <v>111</v>
      </c>
      <c r="AF26" s="41">
        <v>9</v>
      </c>
      <c r="AG26" s="41">
        <v>12</v>
      </c>
      <c r="AH26" s="41">
        <v>1</v>
      </c>
      <c r="AI26" s="41">
        <v>5</v>
      </c>
      <c r="AJ26" s="41"/>
      <c r="AK26" s="41"/>
      <c r="AL26" s="41" t="b">
        <f t="shared" si="2"/>
        <v>1</v>
      </c>
      <c r="AM26" s="41" t="b">
        <f t="shared" si="0"/>
        <v>1</v>
      </c>
      <c r="AN26" s="41" t="b">
        <f t="shared" si="1"/>
        <v>1</v>
      </c>
    </row>
    <row r="27" spans="1:40" x14ac:dyDescent="0.35">
      <c r="A27" s="76"/>
      <c r="B27" s="37">
        <v>23</v>
      </c>
      <c r="C27" s="38" t="s">
        <v>200</v>
      </c>
      <c r="D27" s="38" t="s">
        <v>201</v>
      </c>
      <c r="E27" s="43">
        <v>2400</v>
      </c>
      <c r="F27" s="39">
        <v>0.33333333333333298</v>
      </c>
      <c r="G27" s="39">
        <v>0.70833333333333304</v>
      </c>
      <c r="H27" s="39"/>
      <c r="I27" s="39"/>
      <c r="J27" s="39"/>
      <c r="K27" s="39"/>
      <c r="L27" s="37" t="s">
        <v>176</v>
      </c>
      <c r="M27" s="40" t="s">
        <v>141</v>
      </c>
      <c r="N27" s="40" t="s">
        <v>141</v>
      </c>
      <c r="O27" s="40" t="s">
        <v>152</v>
      </c>
      <c r="P27" s="40" t="s">
        <v>152</v>
      </c>
      <c r="Q27" s="40" t="s">
        <v>152</v>
      </c>
      <c r="R27" s="40" t="s">
        <v>143</v>
      </c>
      <c r="S27" s="40" t="s">
        <v>143</v>
      </c>
      <c r="T27" s="40" t="s">
        <v>143</v>
      </c>
      <c r="U27" s="40" t="s">
        <v>152</v>
      </c>
      <c r="V27" s="40" t="s">
        <v>152</v>
      </c>
      <c r="W27" s="40" t="s">
        <v>152</v>
      </c>
      <c r="X27" s="40" t="s">
        <v>141</v>
      </c>
      <c r="Y27" s="41">
        <v>3</v>
      </c>
      <c r="Z27" s="41">
        <v>11</v>
      </c>
      <c r="AA27" s="41"/>
      <c r="AB27" s="41"/>
      <c r="AC27" s="41"/>
      <c r="AD27" s="41"/>
      <c r="AE27" s="38" t="s">
        <v>111</v>
      </c>
      <c r="AF27" s="41">
        <v>9</v>
      </c>
      <c r="AG27" s="41">
        <v>12</v>
      </c>
      <c r="AH27" s="41">
        <v>1</v>
      </c>
      <c r="AI27" s="41">
        <v>5</v>
      </c>
      <c r="AJ27" s="41"/>
      <c r="AK27" s="41"/>
      <c r="AL27" s="41" t="b">
        <f t="shared" si="2"/>
        <v>1</v>
      </c>
      <c r="AM27" s="41" t="b">
        <f t="shared" si="0"/>
        <v>1</v>
      </c>
      <c r="AN27" s="41" t="b">
        <f t="shared" si="1"/>
        <v>1</v>
      </c>
    </row>
    <row r="28" spans="1:40" x14ac:dyDescent="0.35">
      <c r="A28" s="76"/>
      <c r="B28" s="37">
        <v>24</v>
      </c>
      <c r="C28" s="38" t="s">
        <v>202</v>
      </c>
      <c r="D28" s="38" t="s">
        <v>156</v>
      </c>
      <c r="E28" s="43">
        <v>200</v>
      </c>
      <c r="F28" s="39">
        <v>0.33333333333333298</v>
      </c>
      <c r="G28" s="39">
        <v>0.70833333333333304</v>
      </c>
      <c r="H28" s="39"/>
      <c r="I28" s="39"/>
      <c r="J28" s="39"/>
      <c r="K28" s="39"/>
      <c r="L28" s="37" t="s">
        <v>176</v>
      </c>
      <c r="M28" s="40"/>
      <c r="N28" s="40"/>
      <c r="O28" s="40" t="s">
        <v>152</v>
      </c>
      <c r="P28" s="40" t="s">
        <v>152</v>
      </c>
      <c r="Q28" s="40" t="s">
        <v>152</v>
      </c>
      <c r="R28" s="40" t="s">
        <v>152</v>
      </c>
      <c r="S28" s="40" t="s">
        <v>152</v>
      </c>
      <c r="T28" s="40"/>
      <c r="U28" s="40"/>
      <c r="V28" s="40"/>
      <c r="W28" s="40"/>
      <c r="X28" s="40"/>
      <c r="Y28" s="41">
        <v>3</v>
      </c>
      <c r="Z28" s="41">
        <v>7</v>
      </c>
      <c r="AA28" s="41"/>
      <c r="AB28" s="41"/>
      <c r="AC28" s="41"/>
      <c r="AD28" s="41"/>
      <c r="AE28" s="38" t="s">
        <v>203</v>
      </c>
      <c r="AF28" s="41">
        <v>3</v>
      </c>
      <c r="AG28" s="41">
        <v>7</v>
      </c>
      <c r="AH28" s="41"/>
      <c r="AI28" s="41"/>
      <c r="AJ28" s="41"/>
      <c r="AK28" s="41"/>
      <c r="AL28" s="41" t="b">
        <f t="shared" si="2"/>
        <v>0</v>
      </c>
      <c r="AM28" s="41" t="b">
        <f t="shared" si="0"/>
        <v>0</v>
      </c>
      <c r="AN28" s="41" t="b">
        <f t="shared" si="1"/>
        <v>0</v>
      </c>
    </row>
    <row r="29" spans="1:40" x14ac:dyDescent="0.35">
      <c r="A29" s="76"/>
      <c r="B29" s="37">
        <v>25</v>
      </c>
      <c r="C29" s="38" t="s">
        <v>204</v>
      </c>
      <c r="D29" s="38" t="s">
        <v>205</v>
      </c>
      <c r="E29" s="43">
        <v>2500</v>
      </c>
      <c r="F29" s="39">
        <v>0</v>
      </c>
      <c r="G29" s="39">
        <v>0.99930555555555556</v>
      </c>
      <c r="H29" s="39"/>
      <c r="I29" s="39"/>
      <c r="J29" s="39"/>
      <c r="K29" s="39"/>
      <c r="L29" s="37" t="s">
        <v>41</v>
      </c>
      <c r="M29" s="40" t="s">
        <v>152</v>
      </c>
      <c r="N29" s="40" t="s">
        <v>152</v>
      </c>
      <c r="O29" s="40" t="s">
        <v>152</v>
      </c>
      <c r="P29" s="40" t="s">
        <v>152</v>
      </c>
      <c r="Q29" s="40" t="s">
        <v>152</v>
      </c>
      <c r="R29" s="40" t="s">
        <v>152</v>
      </c>
      <c r="S29" s="40" t="s">
        <v>152</v>
      </c>
      <c r="T29" s="40" t="s">
        <v>152</v>
      </c>
      <c r="U29" s="40" t="s">
        <v>152</v>
      </c>
      <c r="V29" s="40" t="s">
        <v>152</v>
      </c>
      <c r="W29" s="40" t="s">
        <v>152</v>
      </c>
      <c r="X29" s="40" t="s">
        <v>152</v>
      </c>
      <c r="Y29" s="41">
        <v>1</v>
      </c>
      <c r="Z29" s="41">
        <v>12</v>
      </c>
      <c r="AA29" s="41"/>
      <c r="AB29" s="41"/>
      <c r="AC29" s="41"/>
      <c r="AD29" s="41"/>
      <c r="AE29" s="38" t="s">
        <v>44</v>
      </c>
      <c r="AF29" s="41">
        <v>1</v>
      </c>
      <c r="AG29" s="41">
        <v>12</v>
      </c>
      <c r="AH29" s="41"/>
      <c r="AI29" s="41"/>
      <c r="AJ29" s="41"/>
      <c r="AK29" s="41"/>
      <c r="AL29" s="41" t="b">
        <f t="shared" si="2"/>
        <v>1</v>
      </c>
      <c r="AM29" s="41" t="b">
        <f t="shared" si="0"/>
        <v>1</v>
      </c>
      <c r="AN29" s="41" t="b">
        <f t="shared" si="1"/>
        <v>1</v>
      </c>
    </row>
    <row r="30" spans="1:40" x14ac:dyDescent="0.35">
      <c r="A30" s="76"/>
      <c r="B30" s="37">
        <v>26</v>
      </c>
      <c r="C30" s="38" t="s">
        <v>206</v>
      </c>
      <c r="D30" s="38" t="s">
        <v>187</v>
      </c>
      <c r="E30" s="43">
        <v>250</v>
      </c>
      <c r="F30" s="39">
        <v>0.33333333333333298</v>
      </c>
      <c r="G30" s="39">
        <v>0.70833333333333304</v>
      </c>
      <c r="H30" s="39"/>
      <c r="I30" s="39"/>
      <c r="J30" s="39"/>
      <c r="K30" s="39"/>
      <c r="L30" s="37" t="s">
        <v>176</v>
      </c>
      <c r="M30" s="40" t="s">
        <v>141</v>
      </c>
      <c r="N30" s="40" t="s">
        <v>141</v>
      </c>
      <c r="O30" s="40"/>
      <c r="P30" s="40"/>
      <c r="Q30" s="40"/>
      <c r="R30" s="40"/>
      <c r="S30" s="40" t="s">
        <v>143</v>
      </c>
      <c r="T30" s="40" t="s">
        <v>143</v>
      </c>
      <c r="U30" s="40"/>
      <c r="V30" s="40"/>
      <c r="W30" s="40"/>
      <c r="X30" s="40"/>
      <c r="Y30" s="41">
        <v>7</v>
      </c>
      <c r="Z30" s="41">
        <v>8</v>
      </c>
      <c r="AA30" s="41"/>
      <c r="AB30" s="41"/>
      <c r="AC30" s="41"/>
      <c r="AD30" s="41"/>
      <c r="AE30" s="38" t="s">
        <v>107</v>
      </c>
      <c r="AF30" s="41">
        <v>1</v>
      </c>
      <c r="AG30" s="41">
        <v>2</v>
      </c>
      <c r="AH30" s="41"/>
      <c r="AI30" s="41"/>
      <c r="AJ30" s="41"/>
      <c r="AK30" s="41"/>
      <c r="AL30" s="41" t="b">
        <f t="shared" si="2"/>
        <v>0</v>
      </c>
      <c r="AM30" s="41" t="b">
        <f t="shared" si="0"/>
        <v>0</v>
      </c>
      <c r="AN30" s="41" t="b">
        <f t="shared" si="1"/>
        <v>0</v>
      </c>
    </row>
    <row r="31" spans="1:40" x14ac:dyDescent="0.35">
      <c r="A31" s="76"/>
      <c r="B31" s="37">
        <v>27</v>
      </c>
      <c r="C31" s="38" t="s">
        <v>207</v>
      </c>
      <c r="D31" s="38" t="s">
        <v>187</v>
      </c>
      <c r="E31" s="43">
        <v>300</v>
      </c>
      <c r="F31" s="39">
        <v>0.33333333333333298</v>
      </c>
      <c r="G31" s="39">
        <v>0.70833333333333304</v>
      </c>
      <c r="H31" s="39"/>
      <c r="I31" s="39"/>
      <c r="J31" s="39"/>
      <c r="K31" s="39"/>
      <c r="L31" s="37" t="s">
        <v>176</v>
      </c>
      <c r="M31" s="40" t="s">
        <v>141</v>
      </c>
      <c r="N31" s="40" t="s">
        <v>141</v>
      </c>
      <c r="O31" s="40"/>
      <c r="P31" s="40"/>
      <c r="Q31" s="40"/>
      <c r="R31" s="40"/>
      <c r="S31" s="40" t="s">
        <v>143</v>
      </c>
      <c r="T31" s="40" t="s">
        <v>143</v>
      </c>
      <c r="U31" s="40"/>
      <c r="V31" s="40"/>
      <c r="W31" s="40"/>
      <c r="X31" s="40"/>
      <c r="Y31" s="41">
        <v>7</v>
      </c>
      <c r="Z31" s="41">
        <v>8</v>
      </c>
      <c r="AA31" s="41"/>
      <c r="AB31" s="41"/>
      <c r="AC31" s="41"/>
      <c r="AD31" s="41"/>
      <c r="AE31" s="38" t="s">
        <v>107</v>
      </c>
      <c r="AF31" s="41">
        <v>1</v>
      </c>
      <c r="AG31" s="41">
        <v>2</v>
      </c>
      <c r="AH31" s="41"/>
      <c r="AI31" s="41"/>
      <c r="AJ31" s="41"/>
      <c r="AK31" s="41"/>
      <c r="AL31" s="41" t="b">
        <f t="shared" si="2"/>
        <v>0</v>
      </c>
      <c r="AM31" s="41" t="b">
        <f t="shared" si="0"/>
        <v>0</v>
      </c>
      <c r="AN31" s="41" t="b">
        <f t="shared" si="1"/>
        <v>0</v>
      </c>
    </row>
    <row r="32" spans="1:40" x14ac:dyDescent="0.35">
      <c r="A32" s="76"/>
      <c r="B32" s="37">
        <v>28</v>
      </c>
      <c r="C32" s="38" t="s">
        <v>208</v>
      </c>
      <c r="D32" s="38" t="s">
        <v>187</v>
      </c>
      <c r="E32" s="43">
        <v>600</v>
      </c>
      <c r="F32" s="39">
        <v>0.33333333333333298</v>
      </c>
      <c r="G32" s="39">
        <v>0.70833333333333304</v>
      </c>
      <c r="H32" s="39"/>
      <c r="I32" s="39"/>
      <c r="J32" s="39"/>
      <c r="K32" s="39"/>
      <c r="L32" s="37" t="s">
        <v>176</v>
      </c>
      <c r="M32" s="40" t="s">
        <v>141</v>
      </c>
      <c r="N32" s="40" t="s">
        <v>141</v>
      </c>
      <c r="O32" s="40"/>
      <c r="P32" s="40"/>
      <c r="Q32" s="40"/>
      <c r="R32" s="40"/>
      <c r="S32" s="40" t="s">
        <v>143</v>
      </c>
      <c r="T32" s="40" t="s">
        <v>143</v>
      </c>
      <c r="U32" s="40"/>
      <c r="V32" s="40"/>
      <c r="W32" s="40"/>
      <c r="X32" s="40"/>
      <c r="Y32" s="41">
        <v>7</v>
      </c>
      <c r="Z32" s="41">
        <v>8</v>
      </c>
      <c r="AA32" s="41"/>
      <c r="AB32" s="41"/>
      <c r="AC32" s="41"/>
      <c r="AD32" s="41"/>
      <c r="AE32" s="38" t="s">
        <v>107</v>
      </c>
      <c r="AF32" s="41">
        <v>1</v>
      </c>
      <c r="AG32" s="41">
        <v>2</v>
      </c>
      <c r="AH32" s="41"/>
      <c r="AI32" s="41"/>
      <c r="AJ32" s="41"/>
      <c r="AK32" s="41"/>
      <c r="AL32" s="41" t="b">
        <f t="shared" si="2"/>
        <v>0</v>
      </c>
      <c r="AM32" s="41" t="b">
        <f t="shared" si="0"/>
        <v>0</v>
      </c>
      <c r="AN32" s="41" t="b">
        <f t="shared" si="1"/>
        <v>0</v>
      </c>
    </row>
    <row r="33" spans="1:40" x14ac:dyDescent="0.35">
      <c r="A33" s="76"/>
      <c r="B33" s="37">
        <v>29</v>
      </c>
      <c r="C33" s="38" t="s">
        <v>209</v>
      </c>
      <c r="D33" s="38" t="s">
        <v>187</v>
      </c>
      <c r="E33" s="43">
        <v>400</v>
      </c>
      <c r="F33" s="39">
        <v>0.33333333333333298</v>
      </c>
      <c r="G33" s="39">
        <v>0.70833333333333304</v>
      </c>
      <c r="H33" s="39"/>
      <c r="I33" s="39"/>
      <c r="J33" s="39"/>
      <c r="K33" s="39"/>
      <c r="L33" s="37" t="s">
        <v>176</v>
      </c>
      <c r="M33" s="40"/>
      <c r="N33" s="40" t="s">
        <v>141</v>
      </c>
      <c r="O33" s="40" t="s">
        <v>141</v>
      </c>
      <c r="P33" s="40"/>
      <c r="Q33" s="40"/>
      <c r="R33" s="40"/>
      <c r="S33" s="40"/>
      <c r="T33" s="40" t="s">
        <v>143</v>
      </c>
      <c r="U33" s="40" t="s">
        <v>143</v>
      </c>
      <c r="V33" s="40"/>
      <c r="W33" s="40"/>
      <c r="X33" s="40"/>
      <c r="Y33" s="41">
        <v>8</v>
      </c>
      <c r="Z33" s="41">
        <v>9</v>
      </c>
      <c r="AA33" s="41"/>
      <c r="AB33" s="41"/>
      <c r="AC33" s="41"/>
      <c r="AD33" s="41"/>
      <c r="AE33" s="38" t="s">
        <v>56</v>
      </c>
      <c r="AF33" s="41">
        <v>2</v>
      </c>
      <c r="AG33" s="41">
        <v>3</v>
      </c>
      <c r="AH33" s="41"/>
      <c r="AI33" s="41"/>
      <c r="AJ33" s="41"/>
      <c r="AK33" s="41"/>
      <c r="AL33" s="41" t="b">
        <f t="shared" si="2"/>
        <v>0</v>
      </c>
      <c r="AM33" s="41" t="b">
        <f t="shared" si="0"/>
        <v>0</v>
      </c>
      <c r="AN33" s="41" t="b">
        <f t="shared" si="1"/>
        <v>0</v>
      </c>
    </row>
    <row r="34" spans="1:40" x14ac:dyDescent="0.35">
      <c r="A34" s="76"/>
      <c r="B34" s="37">
        <v>30</v>
      </c>
      <c r="C34" s="38" t="s">
        <v>210</v>
      </c>
      <c r="D34" s="38" t="s">
        <v>187</v>
      </c>
      <c r="E34" s="43">
        <v>660</v>
      </c>
      <c r="F34" s="39">
        <v>0.16666666666666666</v>
      </c>
      <c r="G34" s="39">
        <v>0.33333333333333331</v>
      </c>
      <c r="H34" s="39">
        <v>0.66666666666666663</v>
      </c>
      <c r="I34" s="39">
        <v>0.79166666666666663</v>
      </c>
      <c r="J34" s="39"/>
      <c r="K34" s="39"/>
      <c r="L34" s="37" t="s">
        <v>211</v>
      </c>
      <c r="M34" s="40" t="s">
        <v>141</v>
      </c>
      <c r="N34" s="40" t="s">
        <v>141</v>
      </c>
      <c r="O34" s="40"/>
      <c r="P34" s="40"/>
      <c r="Q34" s="40"/>
      <c r="R34" s="40"/>
      <c r="S34" s="40" t="s">
        <v>143</v>
      </c>
      <c r="T34" s="40" t="s">
        <v>143</v>
      </c>
      <c r="U34" s="40"/>
      <c r="V34" s="40"/>
      <c r="W34" s="40"/>
      <c r="X34" s="40"/>
      <c r="Y34" s="41">
        <v>7</v>
      </c>
      <c r="Z34" s="41">
        <v>8</v>
      </c>
      <c r="AA34" s="41"/>
      <c r="AB34" s="41"/>
      <c r="AC34" s="41"/>
      <c r="AD34" s="41"/>
      <c r="AE34" s="38" t="s">
        <v>107</v>
      </c>
      <c r="AF34" s="41">
        <v>1</v>
      </c>
      <c r="AG34" s="41">
        <v>2</v>
      </c>
      <c r="AH34" s="41"/>
      <c r="AI34" s="41"/>
      <c r="AJ34" s="41"/>
      <c r="AK34" s="41"/>
      <c r="AL34" s="41" t="b">
        <f t="shared" si="2"/>
        <v>0</v>
      </c>
      <c r="AM34" s="41" t="b">
        <f t="shared" si="0"/>
        <v>0</v>
      </c>
      <c r="AN34" s="41" t="b">
        <f t="shared" si="1"/>
        <v>0</v>
      </c>
    </row>
    <row r="35" spans="1:40" x14ac:dyDescent="0.35">
      <c r="A35" s="76"/>
      <c r="B35" s="37">
        <v>31</v>
      </c>
      <c r="C35" s="38" t="s">
        <v>212</v>
      </c>
      <c r="D35" s="38" t="s">
        <v>187</v>
      </c>
      <c r="E35" s="43">
        <v>10</v>
      </c>
      <c r="F35" s="39">
        <v>0</v>
      </c>
      <c r="G35" s="39">
        <v>0.99930555555555556</v>
      </c>
      <c r="H35" s="39"/>
      <c r="I35" s="39"/>
      <c r="J35" s="39"/>
      <c r="K35" s="39"/>
      <c r="L35" s="37" t="s">
        <v>41</v>
      </c>
      <c r="M35" s="40" t="s">
        <v>141</v>
      </c>
      <c r="N35" s="40" t="s">
        <v>141</v>
      </c>
      <c r="O35" s="40"/>
      <c r="P35" s="40"/>
      <c r="Q35" s="40"/>
      <c r="R35" s="40"/>
      <c r="S35" s="40" t="s">
        <v>143</v>
      </c>
      <c r="T35" s="40" t="s">
        <v>143</v>
      </c>
      <c r="U35" s="40"/>
      <c r="V35" s="40"/>
      <c r="W35" s="40"/>
      <c r="X35" s="40"/>
      <c r="Y35" s="41">
        <v>7</v>
      </c>
      <c r="Z35" s="41">
        <v>8</v>
      </c>
      <c r="AA35" s="41"/>
      <c r="AB35" s="41"/>
      <c r="AC35" s="41"/>
      <c r="AD35" s="41"/>
      <c r="AE35" s="38" t="s">
        <v>107</v>
      </c>
      <c r="AF35" s="41">
        <v>1</v>
      </c>
      <c r="AG35" s="41">
        <v>2</v>
      </c>
      <c r="AH35" s="41"/>
      <c r="AI35" s="41"/>
      <c r="AJ35" s="41"/>
      <c r="AK35" s="41"/>
      <c r="AL35" s="41" t="b">
        <f t="shared" si="2"/>
        <v>0</v>
      </c>
      <c r="AM35" s="41" t="b">
        <f t="shared" si="0"/>
        <v>0</v>
      </c>
      <c r="AN35" s="41" t="b">
        <f t="shared" si="1"/>
        <v>0</v>
      </c>
    </row>
    <row r="36" spans="1:40" x14ac:dyDescent="0.35">
      <c r="A36" s="76"/>
      <c r="B36" s="37">
        <v>32</v>
      </c>
      <c r="C36" s="38" t="s">
        <v>213</v>
      </c>
      <c r="D36" s="38" t="s">
        <v>156</v>
      </c>
      <c r="E36" s="43">
        <v>180</v>
      </c>
      <c r="F36" s="39">
        <v>0.33333333333333298</v>
      </c>
      <c r="G36" s="39">
        <v>0.79166666666666696</v>
      </c>
      <c r="H36" s="39"/>
      <c r="I36" s="39"/>
      <c r="J36" s="39"/>
      <c r="K36" s="39"/>
      <c r="L36" s="37" t="s">
        <v>168</v>
      </c>
      <c r="M36" s="40"/>
      <c r="N36" s="40"/>
      <c r="O36" s="40" t="s">
        <v>141</v>
      </c>
      <c r="P36" s="40" t="s">
        <v>141</v>
      </c>
      <c r="Q36" s="40"/>
      <c r="R36" s="40"/>
      <c r="S36" s="40"/>
      <c r="T36" s="40"/>
      <c r="U36" s="40" t="s">
        <v>143</v>
      </c>
      <c r="V36" s="40" t="s">
        <v>143</v>
      </c>
      <c r="W36" s="40" t="s">
        <v>143</v>
      </c>
      <c r="X36" s="40"/>
      <c r="Y36" s="41">
        <v>9</v>
      </c>
      <c r="Z36" s="41">
        <v>10</v>
      </c>
      <c r="AA36" s="41"/>
      <c r="AB36" s="41"/>
      <c r="AC36" s="41"/>
      <c r="AD36" s="41"/>
      <c r="AE36" s="38" t="s">
        <v>197</v>
      </c>
      <c r="AF36" s="41">
        <v>3</v>
      </c>
      <c r="AG36" s="41">
        <v>4</v>
      </c>
      <c r="AH36" s="41"/>
      <c r="AI36" s="41"/>
      <c r="AJ36" s="41"/>
      <c r="AK36" s="41"/>
      <c r="AL36" s="41" t="b">
        <f t="shared" si="2"/>
        <v>0</v>
      </c>
      <c r="AM36" s="41" t="b">
        <f t="shared" si="0"/>
        <v>0</v>
      </c>
      <c r="AN36" s="41" t="b">
        <f t="shared" si="1"/>
        <v>0</v>
      </c>
    </row>
    <row r="37" spans="1:40" x14ac:dyDescent="0.35">
      <c r="A37" s="76"/>
      <c r="B37" s="37">
        <v>33</v>
      </c>
      <c r="C37" s="38" t="s">
        <v>214</v>
      </c>
      <c r="D37" s="38" t="s">
        <v>156</v>
      </c>
      <c r="E37" s="43">
        <v>230</v>
      </c>
      <c r="F37" s="39">
        <v>0.33333333333333298</v>
      </c>
      <c r="G37" s="39">
        <v>0.70833333333333304</v>
      </c>
      <c r="H37" s="39"/>
      <c r="I37" s="39"/>
      <c r="J37" s="39"/>
      <c r="K37" s="39"/>
      <c r="L37" s="37" t="s">
        <v>176</v>
      </c>
      <c r="M37" s="40" t="s">
        <v>141</v>
      </c>
      <c r="N37" s="40" t="s">
        <v>141</v>
      </c>
      <c r="O37" s="40" t="s">
        <v>141</v>
      </c>
      <c r="P37" s="40" t="s">
        <v>152</v>
      </c>
      <c r="Q37" s="40" t="s">
        <v>143</v>
      </c>
      <c r="R37" s="40" t="s">
        <v>143</v>
      </c>
      <c r="S37" s="40" t="s">
        <v>143</v>
      </c>
      <c r="T37" s="40" t="s">
        <v>143</v>
      </c>
      <c r="U37" s="40" t="s">
        <v>143</v>
      </c>
      <c r="V37" s="40" t="s">
        <v>152</v>
      </c>
      <c r="W37" s="40" t="s">
        <v>141</v>
      </c>
      <c r="X37" s="40" t="s">
        <v>141</v>
      </c>
      <c r="Y37" s="41">
        <v>4</v>
      </c>
      <c r="Z37" s="41">
        <v>10</v>
      </c>
      <c r="AA37" s="41"/>
      <c r="AB37" s="41"/>
      <c r="AC37" s="41"/>
      <c r="AD37" s="41"/>
      <c r="AE37" s="38" t="s">
        <v>60</v>
      </c>
      <c r="AF37" s="41">
        <v>10</v>
      </c>
      <c r="AG37" s="41">
        <v>12</v>
      </c>
      <c r="AH37" s="41">
        <v>1</v>
      </c>
      <c r="AI37" s="41">
        <v>4</v>
      </c>
      <c r="AJ37" s="41"/>
      <c r="AK37" s="41"/>
      <c r="AL37" s="41" t="b">
        <f t="shared" si="2"/>
        <v>0</v>
      </c>
      <c r="AM37" s="41" t="b">
        <f t="shared" ref="AM37:AM68" si="3">AND(OR(AND(Y37&lt;=Y$2,Z37&gt;=Y$2), AND(AA37&lt;=Y$2,AB37&gt;=Y$2), AND(AC37&lt;=Y$2,AD37&gt;=Y$2)), OR(AND(F37&lt;=F$2, G37&gt;=F$2),AND(H37&lt;=F$2,I37&gt;=F$2),AND(J37&lt;=F$2,K37&gt;=F$2)))</f>
        <v>0</v>
      </c>
      <c r="AN37" s="41" t="b">
        <f t="shared" ref="AN37:AN68" si="4">AND(OR(AND(AF37&lt;=Y$2,AG37&gt;=Y$2), AND(AH37&lt;=Y$2,AI37&gt;=Y$2), AND(AJ37&lt;=Y$2,AK37&gt;=Y$2)), OR(AND(F37&lt;=F$2, G37&gt;=F$2),AND(H37&lt;=F$2,I37&gt;=F$2),AND(J37&lt;=F$2,K37&gt;=F$2)))</f>
        <v>1</v>
      </c>
    </row>
    <row r="38" spans="1:40" x14ac:dyDescent="0.35">
      <c r="A38" s="76"/>
      <c r="B38" s="37">
        <v>34</v>
      </c>
      <c r="C38" s="38" t="s">
        <v>215</v>
      </c>
      <c r="D38" s="38" t="s">
        <v>156</v>
      </c>
      <c r="E38" s="43">
        <v>4500</v>
      </c>
      <c r="F38" s="39">
        <v>0.33333333333333298</v>
      </c>
      <c r="G38" s="39">
        <v>0.70833333333333304</v>
      </c>
      <c r="H38" s="39"/>
      <c r="I38" s="39"/>
      <c r="J38" s="39"/>
      <c r="K38" s="39"/>
      <c r="L38" s="37" t="s">
        <v>176</v>
      </c>
      <c r="M38" s="40" t="s">
        <v>141</v>
      </c>
      <c r="N38" s="40" t="s">
        <v>141</v>
      </c>
      <c r="O38" s="40" t="s">
        <v>141</v>
      </c>
      <c r="P38" s="40" t="s">
        <v>141</v>
      </c>
      <c r="Q38" s="40" t="s">
        <v>143</v>
      </c>
      <c r="R38" s="40" t="s">
        <v>143</v>
      </c>
      <c r="S38" s="40" t="s">
        <v>143</v>
      </c>
      <c r="T38" s="40" t="s">
        <v>143</v>
      </c>
      <c r="U38" s="40" t="s">
        <v>143</v>
      </c>
      <c r="V38" s="40" t="s">
        <v>143</v>
      </c>
      <c r="W38" s="40" t="s">
        <v>141</v>
      </c>
      <c r="X38" s="40" t="s">
        <v>141</v>
      </c>
      <c r="Y38" s="41">
        <v>5</v>
      </c>
      <c r="Z38" s="41">
        <v>10</v>
      </c>
      <c r="AA38" s="41"/>
      <c r="AB38" s="41"/>
      <c r="AC38" s="41"/>
      <c r="AD38" s="41"/>
      <c r="AE38" s="38" t="s">
        <v>66</v>
      </c>
      <c r="AF38" s="41">
        <v>11</v>
      </c>
      <c r="AG38" s="41">
        <v>12</v>
      </c>
      <c r="AH38" s="41">
        <v>1</v>
      </c>
      <c r="AI38" s="41">
        <v>4</v>
      </c>
      <c r="AJ38" s="41"/>
      <c r="AK38" s="41"/>
      <c r="AL38" s="41" t="b">
        <f t="shared" si="2"/>
        <v>0</v>
      </c>
      <c r="AM38" s="41" t="b">
        <f t="shared" si="3"/>
        <v>0</v>
      </c>
      <c r="AN38" s="41" t="b">
        <f t="shared" si="4"/>
        <v>1</v>
      </c>
    </row>
    <row r="39" spans="1:40" x14ac:dyDescent="0.35">
      <c r="A39" s="76"/>
      <c r="B39" s="37">
        <v>35</v>
      </c>
      <c r="C39" s="38" t="s">
        <v>216</v>
      </c>
      <c r="D39" s="38" t="s">
        <v>156</v>
      </c>
      <c r="E39" s="43">
        <v>500</v>
      </c>
      <c r="F39" s="39">
        <v>0</v>
      </c>
      <c r="G39" s="39">
        <v>0.999305555555556</v>
      </c>
      <c r="H39" s="39"/>
      <c r="I39" s="39"/>
      <c r="J39" s="39"/>
      <c r="K39" s="39"/>
      <c r="L39" s="37" t="s">
        <v>41</v>
      </c>
      <c r="M39" s="40" t="s">
        <v>143</v>
      </c>
      <c r="N39" s="40" t="s">
        <v>143</v>
      </c>
      <c r="O39" s="40"/>
      <c r="P39" s="40"/>
      <c r="Q39" s="40" t="s">
        <v>141</v>
      </c>
      <c r="R39" s="40" t="s">
        <v>141</v>
      </c>
      <c r="S39" s="40" t="s">
        <v>141</v>
      </c>
      <c r="T39" s="40" t="s">
        <v>141</v>
      </c>
      <c r="U39" s="40"/>
      <c r="V39" s="40"/>
      <c r="W39" s="40" t="s">
        <v>143</v>
      </c>
      <c r="X39" s="40" t="s">
        <v>143</v>
      </c>
      <c r="Y39" s="41">
        <v>11</v>
      </c>
      <c r="Z39" s="41">
        <v>12</v>
      </c>
      <c r="AA39" s="41">
        <v>1</v>
      </c>
      <c r="AB39" s="41">
        <v>2</v>
      </c>
      <c r="AC39" s="41"/>
      <c r="AD39" s="41"/>
      <c r="AE39" s="38" t="s">
        <v>109</v>
      </c>
      <c r="AF39" s="41">
        <v>5</v>
      </c>
      <c r="AG39" s="41">
        <v>8</v>
      </c>
      <c r="AH39" s="41"/>
      <c r="AI39" s="41"/>
      <c r="AJ39" s="41"/>
      <c r="AK39" s="41"/>
      <c r="AL39" s="41" t="b">
        <f t="shared" si="2"/>
        <v>1</v>
      </c>
      <c r="AM39" s="41" t="b">
        <f t="shared" si="3"/>
        <v>1</v>
      </c>
      <c r="AN39" s="41" t="b">
        <f t="shared" si="4"/>
        <v>0</v>
      </c>
    </row>
    <row r="40" spans="1:40" x14ac:dyDescent="0.35">
      <c r="A40" s="76"/>
      <c r="B40" s="37">
        <v>36</v>
      </c>
      <c r="C40" s="38" t="s">
        <v>217</v>
      </c>
      <c r="D40" s="38" t="s">
        <v>156</v>
      </c>
      <c r="E40" s="43">
        <v>300</v>
      </c>
      <c r="F40" s="39">
        <v>0.79166666666666696</v>
      </c>
      <c r="G40" s="39">
        <v>0.999305555555556</v>
      </c>
      <c r="H40" s="39">
        <v>0</v>
      </c>
      <c r="I40" s="39">
        <v>0.16666666666666699</v>
      </c>
      <c r="J40" s="39"/>
      <c r="K40" s="39"/>
      <c r="L40" s="37" t="s">
        <v>185</v>
      </c>
      <c r="M40" s="40"/>
      <c r="N40" s="40"/>
      <c r="O40" s="40"/>
      <c r="P40" s="40"/>
      <c r="Q40" s="40"/>
      <c r="R40" s="40" t="s">
        <v>143</v>
      </c>
      <c r="S40" s="40"/>
      <c r="T40" s="40"/>
      <c r="U40" s="40"/>
      <c r="V40" s="40"/>
      <c r="W40" s="40"/>
      <c r="X40" s="40" t="s">
        <v>141</v>
      </c>
      <c r="Y40" s="41">
        <v>6</v>
      </c>
      <c r="Z40" s="41">
        <v>6</v>
      </c>
      <c r="AA40" s="41"/>
      <c r="AB40" s="41"/>
      <c r="AC40" s="41"/>
      <c r="AD40" s="41"/>
      <c r="AE40" s="38" t="s">
        <v>218</v>
      </c>
      <c r="AF40" s="41">
        <v>12</v>
      </c>
      <c r="AG40" s="41">
        <v>12</v>
      </c>
      <c r="AH40" s="41"/>
      <c r="AI40" s="41"/>
      <c r="AJ40" s="41"/>
      <c r="AK40" s="41"/>
      <c r="AL40" s="41" t="b">
        <f t="shared" si="2"/>
        <v>0</v>
      </c>
      <c r="AM40" s="41" t="b">
        <f t="shared" si="3"/>
        <v>0</v>
      </c>
      <c r="AN40" s="41" t="b">
        <f t="shared" si="4"/>
        <v>0</v>
      </c>
    </row>
    <row r="41" spans="1:40" x14ac:dyDescent="0.35">
      <c r="A41" s="76"/>
      <c r="B41" s="37">
        <v>37</v>
      </c>
      <c r="C41" s="38" t="s">
        <v>219</v>
      </c>
      <c r="D41" s="38" t="s">
        <v>220</v>
      </c>
      <c r="E41" s="43">
        <v>500</v>
      </c>
      <c r="F41" s="39">
        <v>0</v>
      </c>
      <c r="G41" s="39">
        <v>0.999305555555556</v>
      </c>
      <c r="H41" s="39"/>
      <c r="I41" s="39"/>
      <c r="J41" s="39"/>
      <c r="K41" s="39"/>
      <c r="L41" s="37" t="s">
        <v>41</v>
      </c>
      <c r="M41" s="40" t="s">
        <v>143</v>
      </c>
      <c r="N41" s="40" t="s">
        <v>143</v>
      </c>
      <c r="O41" s="40" t="s">
        <v>143</v>
      </c>
      <c r="P41" s="40" t="s">
        <v>143</v>
      </c>
      <c r="Q41" s="40" t="s">
        <v>152</v>
      </c>
      <c r="R41" s="40" t="s">
        <v>141</v>
      </c>
      <c r="S41" s="40" t="s">
        <v>141</v>
      </c>
      <c r="T41" s="40" t="s">
        <v>141</v>
      </c>
      <c r="U41" s="40" t="s">
        <v>141</v>
      </c>
      <c r="V41" s="40" t="s">
        <v>141</v>
      </c>
      <c r="W41" s="40" t="s">
        <v>152</v>
      </c>
      <c r="X41" s="40" t="s">
        <v>143</v>
      </c>
      <c r="Y41" s="41">
        <v>11</v>
      </c>
      <c r="Z41" s="41">
        <v>12</v>
      </c>
      <c r="AA41" s="41">
        <v>1</v>
      </c>
      <c r="AB41" s="41">
        <v>5</v>
      </c>
      <c r="AC41" s="41"/>
      <c r="AD41" s="41"/>
      <c r="AE41" s="38" t="s">
        <v>221</v>
      </c>
      <c r="AF41" s="41">
        <v>5</v>
      </c>
      <c r="AG41" s="41">
        <v>11</v>
      </c>
      <c r="AH41" s="41"/>
      <c r="AI41" s="41"/>
      <c r="AJ41" s="41"/>
      <c r="AK41" s="41"/>
      <c r="AL41" s="41" t="b">
        <f t="shared" si="2"/>
        <v>1</v>
      </c>
      <c r="AM41" s="41" t="b">
        <f t="shared" si="3"/>
        <v>1</v>
      </c>
      <c r="AN41" s="41" t="b">
        <f t="shared" si="4"/>
        <v>1</v>
      </c>
    </row>
    <row r="42" spans="1:40" x14ac:dyDescent="0.35">
      <c r="A42" s="76"/>
      <c r="B42" s="37">
        <v>38</v>
      </c>
      <c r="C42" s="38" t="s">
        <v>222</v>
      </c>
      <c r="D42" s="38" t="s">
        <v>223</v>
      </c>
      <c r="E42" s="43">
        <v>130</v>
      </c>
      <c r="F42" s="39">
        <v>0.33333333333333298</v>
      </c>
      <c r="G42" s="39">
        <v>0.79166666666666696</v>
      </c>
      <c r="H42" s="39"/>
      <c r="I42" s="39"/>
      <c r="J42" s="39"/>
      <c r="K42" s="39"/>
      <c r="L42" s="37" t="s">
        <v>168</v>
      </c>
      <c r="M42" s="40" t="s">
        <v>141</v>
      </c>
      <c r="N42" s="40" t="s">
        <v>141</v>
      </c>
      <c r="O42" s="40" t="s">
        <v>141</v>
      </c>
      <c r="P42" s="40"/>
      <c r="Q42" s="40" t="s">
        <v>143</v>
      </c>
      <c r="R42" s="40" t="s">
        <v>143</v>
      </c>
      <c r="S42" s="40" t="s">
        <v>143</v>
      </c>
      <c r="T42" s="40" t="s">
        <v>143</v>
      </c>
      <c r="U42" s="40" t="s">
        <v>143</v>
      </c>
      <c r="V42" s="40"/>
      <c r="W42" s="40" t="s">
        <v>141</v>
      </c>
      <c r="X42" s="40" t="s">
        <v>141</v>
      </c>
      <c r="Y42" s="41">
        <v>5</v>
      </c>
      <c r="Z42" s="41">
        <v>9</v>
      </c>
      <c r="AA42" s="41"/>
      <c r="AB42" s="41"/>
      <c r="AC42" s="41"/>
      <c r="AD42" s="41"/>
      <c r="AE42" s="38" t="s">
        <v>92</v>
      </c>
      <c r="AF42" s="41">
        <v>11</v>
      </c>
      <c r="AG42" s="41">
        <v>12</v>
      </c>
      <c r="AH42" s="41">
        <v>1</v>
      </c>
      <c r="AI42" s="41">
        <v>3</v>
      </c>
      <c r="AJ42" s="41"/>
      <c r="AK42" s="41"/>
      <c r="AL42" s="41" t="b">
        <f t="shared" si="2"/>
        <v>0</v>
      </c>
      <c r="AM42" s="41" t="b">
        <f t="shared" si="3"/>
        <v>0</v>
      </c>
      <c r="AN42" s="41" t="b">
        <f t="shared" si="4"/>
        <v>1</v>
      </c>
    </row>
    <row r="43" spans="1:40" x14ac:dyDescent="0.35">
      <c r="A43" s="76"/>
      <c r="B43" s="37">
        <v>39</v>
      </c>
      <c r="C43" s="38" t="s">
        <v>224</v>
      </c>
      <c r="D43" s="38" t="s">
        <v>225</v>
      </c>
      <c r="E43" s="43">
        <v>800</v>
      </c>
      <c r="F43" s="39">
        <v>0.33333333333333298</v>
      </c>
      <c r="G43" s="39">
        <v>0.79166666666666696</v>
      </c>
      <c r="H43" s="39"/>
      <c r="I43" s="39"/>
      <c r="J43" s="39"/>
      <c r="K43" s="39"/>
      <c r="L43" s="37" t="s">
        <v>168</v>
      </c>
      <c r="M43" s="40" t="s">
        <v>141</v>
      </c>
      <c r="N43" s="40" t="s">
        <v>141</v>
      </c>
      <c r="O43" s="40" t="s">
        <v>141</v>
      </c>
      <c r="P43" s="40"/>
      <c r="Q43" s="40" t="s">
        <v>143</v>
      </c>
      <c r="R43" s="40" t="s">
        <v>143</v>
      </c>
      <c r="S43" s="40" t="s">
        <v>143</v>
      </c>
      <c r="T43" s="40" t="s">
        <v>143</v>
      </c>
      <c r="U43" s="40" t="s">
        <v>143</v>
      </c>
      <c r="V43" s="40"/>
      <c r="W43" s="40" t="s">
        <v>141</v>
      </c>
      <c r="X43" s="40" t="s">
        <v>141</v>
      </c>
      <c r="Y43" s="41">
        <v>5</v>
      </c>
      <c r="Z43" s="41">
        <v>9</v>
      </c>
      <c r="AA43" s="41"/>
      <c r="AB43" s="41"/>
      <c r="AC43" s="41"/>
      <c r="AD43" s="41"/>
      <c r="AE43" s="38" t="s">
        <v>92</v>
      </c>
      <c r="AF43" s="41">
        <v>11</v>
      </c>
      <c r="AG43" s="41">
        <v>12</v>
      </c>
      <c r="AH43" s="41">
        <v>1</v>
      </c>
      <c r="AI43" s="41">
        <v>3</v>
      </c>
      <c r="AJ43" s="41"/>
      <c r="AK43" s="41"/>
      <c r="AL43" s="41" t="b">
        <f t="shared" si="2"/>
        <v>0</v>
      </c>
      <c r="AM43" s="41" t="b">
        <f t="shared" si="3"/>
        <v>0</v>
      </c>
      <c r="AN43" s="41" t="b">
        <f t="shared" si="4"/>
        <v>1</v>
      </c>
    </row>
    <row r="44" spans="1:40" x14ac:dyDescent="0.35">
      <c r="A44" s="76"/>
      <c r="B44" s="37">
        <v>40</v>
      </c>
      <c r="C44" s="38" t="s">
        <v>226</v>
      </c>
      <c r="D44" s="38" t="s">
        <v>225</v>
      </c>
      <c r="E44" s="43">
        <v>2000</v>
      </c>
      <c r="F44" s="39">
        <v>0.79166666666666696</v>
      </c>
      <c r="G44" s="39">
        <v>0.999305555555556</v>
      </c>
      <c r="H44" s="39">
        <v>0</v>
      </c>
      <c r="I44" s="39">
        <v>0.33333333333333331</v>
      </c>
      <c r="J44" s="39"/>
      <c r="K44" s="39"/>
      <c r="L44" s="37" t="s">
        <v>227</v>
      </c>
      <c r="M44" s="40" t="s">
        <v>141</v>
      </c>
      <c r="N44" s="40" t="s">
        <v>141</v>
      </c>
      <c r="O44" s="40" t="s">
        <v>141</v>
      </c>
      <c r="P44" s="40" t="s">
        <v>143</v>
      </c>
      <c r="Q44" s="40" t="s">
        <v>143</v>
      </c>
      <c r="R44" s="40" t="s">
        <v>143</v>
      </c>
      <c r="S44" s="40" t="s">
        <v>143</v>
      </c>
      <c r="T44" s="40" t="s">
        <v>143</v>
      </c>
      <c r="U44" s="40" t="s">
        <v>143</v>
      </c>
      <c r="V44" s="40" t="s">
        <v>141</v>
      </c>
      <c r="W44" s="40" t="s">
        <v>141</v>
      </c>
      <c r="X44" s="40" t="s">
        <v>141</v>
      </c>
      <c r="Y44" s="41">
        <v>4</v>
      </c>
      <c r="Z44" s="41">
        <v>9</v>
      </c>
      <c r="AA44" s="41"/>
      <c r="AB44" s="41"/>
      <c r="AC44" s="41"/>
      <c r="AD44" s="41"/>
      <c r="AE44" s="38" t="s">
        <v>54</v>
      </c>
      <c r="AF44" s="41">
        <v>10</v>
      </c>
      <c r="AG44" s="41">
        <v>12</v>
      </c>
      <c r="AH44" s="41">
        <v>1</v>
      </c>
      <c r="AI44" s="41">
        <v>3</v>
      </c>
      <c r="AJ44" s="41"/>
      <c r="AK44" s="41"/>
      <c r="AL44" s="41" t="b">
        <f t="shared" si="2"/>
        <v>0</v>
      </c>
      <c r="AM44" s="41" t="b">
        <f t="shared" si="3"/>
        <v>0</v>
      </c>
      <c r="AN44" s="41" t="b">
        <f t="shared" si="4"/>
        <v>0</v>
      </c>
    </row>
    <row r="45" spans="1:40" x14ac:dyDescent="0.35">
      <c r="A45" s="76"/>
      <c r="B45" s="37">
        <v>41</v>
      </c>
      <c r="C45" s="38" t="s">
        <v>228</v>
      </c>
      <c r="D45" s="38" t="s">
        <v>199</v>
      </c>
      <c r="E45" s="43">
        <v>120</v>
      </c>
      <c r="F45" s="39">
        <v>0</v>
      </c>
      <c r="G45" s="39">
        <v>0.999305555555556</v>
      </c>
      <c r="H45" s="39"/>
      <c r="I45" s="39"/>
      <c r="J45" s="39"/>
      <c r="K45" s="39"/>
      <c r="L45" s="37" t="s">
        <v>41</v>
      </c>
      <c r="M45" s="40" t="s">
        <v>141</v>
      </c>
      <c r="N45" s="40" t="s">
        <v>141</v>
      </c>
      <c r="O45" s="40" t="s">
        <v>152</v>
      </c>
      <c r="P45" s="40" t="s">
        <v>152</v>
      </c>
      <c r="Q45" s="40" t="s">
        <v>143</v>
      </c>
      <c r="R45" s="40" t="s">
        <v>143</v>
      </c>
      <c r="S45" s="40" t="s">
        <v>143</v>
      </c>
      <c r="T45" s="40" t="s">
        <v>143</v>
      </c>
      <c r="U45" s="40" t="s">
        <v>152</v>
      </c>
      <c r="V45" s="40" t="s">
        <v>152</v>
      </c>
      <c r="W45" s="40" t="s">
        <v>152</v>
      </c>
      <c r="X45" s="40" t="s">
        <v>141</v>
      </c>
      <c r="Y45" s="41">
        <v>3</v>
      </c>
      <c r="Z45" s="41">
        <v>11</v>
      </c>
      <c r="AA45" s="41"/>
      <c r="AB45" s="41"/>
      <c r="AC45" s="41"/>
      <c r="AD45" s="41"/>
      <c r="AE45" s="38" t="s">
        <v>229</v>
      </c>
      <c r="AF45" s="41">
        <v>9</v>
      </c>
      <c r="AG45" s="41">
        <v>12</v>
      </c>
      <c r="AH45" s="41">
        <v>1</v>
      </c>
      <c r="AI45" s="41">
        <v>4</v>
      </c>
      <c r="AJ45" s="41"/>
      <c r="AK45" s="41"/>
      <c r="AL45" s="41" t="b">
        <f t="shared" si="2"/>
        <v>1</v>
      </c>
      <c r="AM45" s="41" t="b">
        <f t="shared" si="3"/>
        <v>1</v>
      </c>
      <c r="AN45" s="41" t="b">
        <f t="shared" si="4"/>
        <v>1</v>
      </c>
    </row>
    <row r="46" spans="1:40" x14ac:dyDescent="0.35">
      <c r="A46" s="76"/>
      <c r="B46" s="37">
        <v>42</v>
      </c>
      <c r="C46" s="38" t="s">
        <v>230</v>
      </c>
      <c r="D46" s="38" t="s">
        <v>199</v>
      </c>
      <c r="E46" s="43">
        <v>1000</v>
      </c>
      <c r="F46" s="39">
        <v>0.79166666666666696</v>
      </c>
      <c r="G46" s="39">
        <v>0.999305555555556</v>
      </c>
      <c r="H46" s="39">
        <v>0</v>
      </c>
      <c r="I46" s="39">
        <v>0.33333333333333331</v>
      </c>
      <c r="J46" s="39"/>
      <c r="K46" s="39"/>
      <c r="L46" s="37" t="s">
        <v>227</v>
      </c>
      <c r="M46" s="40" t="s">
        <v>141</v>
      </c>
      <c r="N46" s="40" t="s">
        <v>141</v>
      </c>
      <c r="O46" s="40" t="s">
        <v>152</v>
      </c>
      <c r="P46" s="40" t="s">
        <v>152</v>
      </c>
      <c r="Q46" s="40" t="s">
        <v>143</v>
      </c>
      <c r="R46" s="40" t="s">
        <v>143</v>
      </c>
      <c r="S46" s="40" t="s">
        <v>143</v>
      </c>
      <c r="T46" s="40" t="s">
        <v>143</v>
      </c>
      <c r="U46" s="40" t="s">
        <v>152</v>
      </c>
      <c r="V46" s="40" t="s">
        <v>152</v>
      </c>
      <c r="W46" s="40" t="s">
        <v>152</v>
      </c>
      <c r="X46" s="40" t="s">
        <v>141</v>
      </c>
      <c r="Y46" s="41">
        <v>3</v>
      </c>
      <c r="Z46" s="41">
        <v>11</v>
      </c>
      <c r="AA46" s="41"/>
      <c r="AB46" s="41"/>
      <c r="AC46" s="41"/>
      <c r="AD46" s="41"/>
      <c r="AE46" s="38" t="s">
        <v>229</v>
      </c>
      <c r="AF46" s="41">
        <v>9</v>
      </c>
      <c r="AG46" s="41">
        <v>12</v>
      </c>
      <c r="AH46" s="41">
        <v>1</v>
      </c>
      <c r="AI46" s="41">
        <v>4</v>
      </c>
      <c r="AJ46" s="41"/>
      <c r="AK46" s="41"/>
      <c r="AL46" s="41" t="b">
        <f t="shared" si="2"/>
        <v>0</v>
      </c>
      <c r="AM46" s="41" t="b">
        <f t="shared" si="3"/>
        <v>0</v>
      </c>
      <c r="AN46" s="41" t="b">
        <f t="shared" si="4"/>
        <v>0</v>
      </c>
    </row>
    <row r="47" spans="1:40" x14ac:dyDescent="0.35">
      <c r="A47" s="76"/>
      <c r="B47" s="37">
        <v>43</v>
      </c>
      <c r="C47" s="38" t="s">
        <v>231</v>
      </c>
      <c r="D47" s="38" t="s">
        <v>199</v>
      </c>
      <c r="E47" s="43">
        <v>200</v>
      </c>
      <c r="F47" s="39">
        <v>0.33333333333333298</v>
      </c>
      <c r="G47" s="39">
        <v>0.70833333333333304</v>
      </c>
      <c r="H47" s="39"/>
      <c r="I47" s="39"/>
      <c r="J47" s="39"/>
      <c r="K47" s="39"/>
      <c r="L47" s="37" t="s">
        <v>176</v>
      </c>
      <c r="M47" s="40"/>
      <c r="N47" s="40"/>
      <c r="O47" s="40" t="s">
        <v>143</v>
      </c>
      <c r="P47" s="40" t="s">
        <v>152</v>
      </c>
      <c r="Q47" s="40" t="s">
        <v>143</v>
      </c>
      <c r="R47" s="40" t="s">
        <v>143</v>
      </c>
      <c r="S47" s="40"/>
      <c r="T47" s="40"/>
      <c r="U47" s="40" t="s">
        <v>141</v>
      </c>
      <c r="V47" s="40" t="s">
        <v>152</v>
      </c>
      <c r="W47" s="40" t="s">
        <v>141</v>
      </c>
      <c r="X47" s="40" t="s">
        <v>141</v>
      </c>
      <c r="Y47" s="41">
        <v>3</v>
      </c>
      <c r="Z47" s="41">
        <v>6</v>
      </c>
      <c r="AA47" s="41">
        <v>10</v>
      </c>
      <c r="AB47" s="41">
        <v>10</v>
      </c>
      <c r="AC47" s="41"/>
      <c r="AD47" s="41"/>
      <c r="AE47" s="38" t="s">
        <v>232</v>
      </c>
      <c r="AF47" s="41">
        <v>9</v>
      </c>
      <c r="AG47" s="41">
        <v>12</v>
      </c>
      <c r="AH47" s="41">
        <v>4</v>
      </c>
      <c r="AI47" s="41">
        <v>4</v>
      </c>
      <c r="AJ47" s="41"/>
      <c r="AK47" s="41"/>
      <c r="AL47" s="41" t="b">
        <f t="shared" si="2"/>
        <v>0</v>
      </c>
      <c r="AM47" s="41" t="b">
        <f t="shared" si="3"/>
        <v>0</v>
      </c>
      <c r="AN47" s="41" t="b">
        <f t="shared" si="4"/>
        <v>1</v>
      </c>
    </row>
    <row r="48" spans="1:40" x14ac:dyDescent="0.35">
      <c r="A48" s="76"/>
      <c r="B48" s="37">
        <v>44</v>
      </c>
      <c r="C48" s="38" t="s">
        <v>233</v>
      </c>
      <c r="D48" s="38" t="s">
        <v>190</v>
      </c>
      <c r="E48" s="43">
        <v>1500</v>
      </c>
      <c r="F48" s="39">
        <v>0</v>
      </c>
      <c r="G48" s="39">
        <v>0.999305555555556</v>
      </c>
      <c r="H48" s="39"/>
      <c r="I48" s="39"/>
      <c r="J48" s="39"/>
      <c r="K48" s="39"/>
      <c r="L48" s="37" t="s">
        <v>41</v>
      </c>
      <c r="M48" s="40" t="s">
        <v>141</v>
      </c>
      <c r="N48" s="40" t="s">
        <v>152</v>
      </c>
      <c r="O48" s="40" t="s">
        <v>152</v>
      </c>
      <c r="P48" s="40" t="s">
        <v>152</v>
      </c>
      <c r="Q48" s="40" t="s">
        <v>152</v>
      </c>
      <c r="R48" s="40" t="s">
        <v>143</v>
      </c>
      <c r="S48" s="40" t="s">
        <v>143</v>
      </c>
      <c r="T48" s="40" t="s">
        <v>152</v>
      </c>
      <c r="U48" s="40" t="s">
        <v>152</v>
      </c>
      <c r="V48" s="40" t="s">
        <v>152</v>
      </c>
      <c r="W48" s="40" t="s">
        <v>152</v>
      </c>
      <c r="X48" s="40" t="s">
        <v>141</v>
      </c>
      <c r="Y48" s="41">
        <v>2</v>
      </c>
      <c r="Z48" s="41">
        <v>11</v>
      </c>
      <c r="AA48" s="41"/>
      <c r="AB48" s="41"/>
      <c r="AC48" s="41"/>
      <c r="AD48" s="41"/>
      <c r="AE48" s="38" t="s">
        <v>234</v>
      </c>
      <c r="AF48" s="41">
        <v>8</v>
      </c>
      <c r="AG48" s="41">
        <v>12</v>
      </c>
      <c r="AH48" s="41">
        <v>1</v>
      </c>
      <c r="AI48" s="41">
        <v>5</v>
      </c>
      <c r="AJ48" s="41"/>
      <c r="AK48" s="41"/>
      <c r="AL48" s="41" t="b">
        <f t="shared" si="2"/>
        <v>1</v>
      </c>
      <c r="AM48" s="41" t="b">
        <f t="shared" si="3"/>
        <v>1</v>
      </c>
      <c r="AN48" s="41" t="b">
        <f t="shared" si="4"/>
        <v>1</v>
      </c>
    </row>
    <row r="49" spans="1:40" x14ac:dyDescent="0.35">
      <c r="A49" s="76"/>
      <c r="B49" s="37">
        <v>45</v>
      </c>
      <c r="C49" s="38" t="s">
        <v>235</v>
      </c>
      <c r="D49" s="38" t="s">
        <v>236</v>
      </c>
      <c r="E49" s="43">
        <v>2400</v>
      </c>
      <c r="F49" s="39">
        <v>0</v>
      </c>
      <c r="G49" s="39">
        <v>0.999305555555556</v>
      </c>
      <c r="H49" s="39"/>
      <c r="I49" s="39"/>
      <c r="J49" s="39"/>
      <c r="K49" s="39"/>
      <c r="L49" s="37" t="s">
        <v>41</v>
      </c>
      <c r="M49" s="40" t="s">
        <v>141</v>
      </c>
      <c r="N49" s="40" t="s">
        <v>141</v>
      </c>
      <c r="O49" s="40"/>
      <c r="P49" s="40" t="s">
        <v>143</v>
      </c>
      <c r="Q49" s="40" t="s">
        <v>143</v>
      </c>
      <c r="R49" s="40" t="s">
        <v>143</v>
      </c>
      <c r="S49" s="40" t="s">
        <v>143</v>
      </c>
      <c r="T49" s="40" t="s">
        <v>143</v>
      </c>
      <c r="U49" s="40"/>
      <c r="V49" s="40" t="s">
        <v>141</v>
      </c>
      <c r="W49" s="40" t="s">
        <v>141</v>
      </c>
      <c r="X49" s="40" t="s">
        <v>141</v>
      </c>
      <c r="Y49" s="41">
        <v>4</v>
      </c>
      <c r="Z49" s="41">
        <v>8</v>
      </c>
      <c r="AA49" s="41"/>
      <c r="AB49" s="41"/>
      <c r="AC49" s="41"/>
      <c r="AD49" s="41"/>
      <c r="AE49" s="38" t="s">
        <v>53</v>
      </c>
      <c r="AF49" s="41">
        <v>10</v>
      </c>
      <c r="AG49" s="41">
        <v>12</v>
      </c>
      <c r="AH49" s="41">
        <v>1</v>
      </c>
      <c r="AI49" s="41">
        <v>2</v>
      </c>
      <c r="AJ49" s="41"/>
      <c r="AK49" s="41"/>
      <c r="AL49" s="41" t="b">
        <f t="shared" si="2"/>
        <v>0</v>
      </c>
      <c r="AM49" s="41" t="b">
        <f t="shared" si="3"/>
        <v>0</v>
      </c>
      <c r="AN49" s="41" t="b">
        <f t="shared" si="4"/>
        <v>1</v>
      </c>
    </row>
    <row r="50" spans="1:40" x14ac:dyDescent="0.35">
      <c r="A50" s="76"/>
      <c r="B50" s="37">
        <v>46</v>
      </c>
      <c r="C50" s="38" t="s">
        <v>237</v>
      </c>
      <c r="D50" s="38" t="s">
        <v>236</v>
      </c>
      <c r="E50" s="43">
        <v>450</v>
      </c>
      <c r="F50" s="39">
        <v>0</v>
      </c>
      <c r="G50" s="39">
        <v>0.999305555555556</v>
      </c>
      <c r="H50" s="39"/>
      <c r="I50" s="39"/>
      <c r="J50" s="39"/>
      <c r="K50" s="39"/>
      <c r="L50" s="37" t="s">
        <v>41</v>
      </c>
      <c r="M50" s="40"/>
      <c r="N50" s="40"/>
      <c r="O50" s="40" t="s">
        <v>141</v>
      </c>
      <c r="P50" s="40" t="s">
        <v>141</v>
      </c>
      <c r="Q50" s="40" t="s">
        <v>143</v>
      </c>
      <c r="R50" s="40" t="s">
        <v>143</v>
      </c>
      <c r="S50" s="40"/>
      <c r="T50" s="40"/>
      <c r="U50" s="40" t="s">
        <v>143</v>
      </c>
      <c r="V50" s="40" t="s">
        <v>143</v>
      </c>
      <c r="W50" s="40" t="s">
        <v>152</v>
      </c>
      <c r="X50" s="40" t="s">
        <v>141</v>
      </c>
      <c r="Y50" s="41">
        <v>5</v>
      </c>
      <c r="Z50" s="41">
        <v>6</v>
      </c>
      <c r="AA50" s="41">
        <v>9</v>
      </c>
      <c r="AB50" s="41">
        <v>11</v>
      </c>
      <c r="AC50" s="41"/>
      <c r="AD50" s="41"/>
      <c r="AE50" s="38" t="s">
        <v>238</v>
      </c>
      <c r="AF50" s="41">
        <v>11</v>
      </c>
      <c r="AG50" s="41">
        <v>12</v>
      </c>
      <c r="AH50" s="41">
        <v>3</v>
      </c>
      <c r="AI50" s="41">
        <v>4</v>
      </c>
      <c r="AJ50" s="41"/>
      <c r="AK50" s="41"/>
      <c r="AL50" s="41" t="b">
        <f t="shared" si="2"/>
        <v>1</v>
      </c>
      <c r="AM50" s="41" t="b">
        <f t="shared" si="3"/>
        <v>1</v>
      </c>
      <c r="AN50" s="41" t="b">
        <f t="shared" si="4"/>
        <v>1</v>
      </c>
    </row>
    <row r="51" spans="1:40" x14ac:dyDescent="0.35">
      <c r="A51" s="76"/>
      <c r="B51" s="37">
        <v>47</v>
      </c>
      <c r="C51" s="38" t="s">
        <v>239</v>
      </c>
      <c r="D51" s="38" t="s">
        <v>236</v>
      </c>
      <c r="E51" s="43">
        <v>350</v>
      </c>
      <c r="F51" s="39">
        <v>0</v>
      </c>
      <c r="G51" s="39">
        <v>0.999305555555556</v>
      </c>
      <c r="H51" s="39"/>
      <c r="I51" s="39"/>
      <c r="J51" s="39"/>
      <c r="K51" s="39"/>
      <c r="L51" s="37" t="s">
        <v>41</v>
      </c>
      <c r="M51" s="40" t="s">
        <v>152</v>
      </c>
      <c r="N51" s="40" t="s">
        <v>152</v>
      </c>
      <c r="O51" s="40" t="s">
        <v>152</v>
      </c>
      <c r="P51" s="40" t="s">
        <v>152</v>
      </c>
      <c r="Q51" s="40" t="s">
        <v>152</v>
      </c>
      <c r="R51" s="40" t="s">
        <v>152</v>
      </c>
      <c r="S51" s="40" t="s">
        <v>152</v>
      </c>
      <c r="T51" s="40" t="s">
        <v>152</v>
      </c>
      <c r="U51" s="40" t="s">
        <v>152</v>
      </c>
      <c r="V51" s="40" t="s">
        <v>152</v>
      </c>
      <c r="W51" s="40" t="s">
        <v>152</v>
      </c>
      <c r="X51" s="40" t="s">
        <v>152</v>
      </c>
      <c r="Y51" s="41">
        <v>1</v>
      </c>
      <c r="Z51" s="41">
        <v>12</v>
      </c>
      <c r="AA51" s="41"/>
      <c r="AB51" s="41"/>
      <c r="AC51" s="41"/>
      <c r="AD51" s="41"/>
      <c r="AE51" s="38" t="s">
        <v>44</v>
      </c>
      <c r="AF51" s="41">
        <v>1</v>
      </c>
      <c r="AG51" s="41">
        <v>12</v>
      </c>
      <c r="AH51" s="41"/>
      <c r="AI51" s="41"/>
      <c r="AJ51" s="41"/>
      <c r="AK51" s="41"/>
      <c r="AL51" s="41" t="b">
        <f t="shared" si="2"/>
        <v>1</v>
      </c>
      <c r="AM51" s="41" t="b">
        <f t="shared" si="3"/>
        <v>1</v>
      </c>
      <c r="AN51" s="41" t="b">
        <f t="shared" si="4"/>
        <v>1</v>
      </c>
    </row>
    <row r="52" spans="1:40" x14ac:dyDescent="0.35">
      <c r="A52" s="76"/>
      <c r="B52" s="37">
        <v>48</v>
      </c>
      <c r="C52" s="38" t="s">
        <v>240</v>
      </c>
      <c r="D52" s="38" t="s">
        <v>236</v>
      </c>
      <c r="E52" s="43">
        <v>3000</v>
      </c>
      <c r="F52" s="39">
        <v>0</v>
      </c>
      <c r="G52" s="39">
        <v>0.999305555555556</v>
      </c>
      <c r="H52" s="39"/>
      <c r="I52" s="39"/>
      <c r="J52" s="39"/>
      <c r="K52" s="39"/>
      <c r="L52" s="37" t="s">
        <v>41</v>
      </c>
      <c r="M52" s="40" t="s">
        <v>141</v>
      </c>
      <c r="N52" s="40" t="s">
        <v>141</v>
      </c>
      <c r="O52" s="40" t="s">
        <v>141</v>
      </c>
      <c r="P52" s="40"/>
      <c r="Q52" s="40" t="s">
        <v>143</v>
      </c>
      <c r="R52" s="40" t="s">
        <v>143</v>
      </c>
      <c r="S52" s="40" t="s">
        <v>143</v>
      </c>
      <c r="T52" s="40" t="s">
        <v>143</v>
      </c>
      <c r="U52" s="40" t="s">
        <v>143</v>
      </c>
      <c r="V52" s="40"/>
      <c r="W52" s="40" t="s">
        <v>141</v>
      </c>
      <c r="X52" s="40" t="s">
        <v>141</v>
      </c>
      <c r="Y52" s="41">
        <v>5</v>
      </c>
      <c r="Z52" s="41">
        <v>9</v>
      </c>
      <c r="AA52" s="41"/>
      <c r="AB52" s="41"/>
      <c r="AC52" s="41"/>
      <c r="AD52" s="41"/>
      <c r="AE52" s="38" t="s">
        <v>92</v>
      </c>
      <c r="AF52" s="41">
        <v>11</v>
      </c>
      <c r="AG52" s="41">
        <v>12</v>
      </c>
      <c r="AH52" s="41">
        <v>1</v>
      </c>
      <c r="AI52" s="41">
        <v>3</v>
      </c>
      <c r="AJ52" s="41"/>
      <c r="AK52" s="41"/>
      <c r="AL52" s="41" t="b">
        <f t="shared" si="2"/>
        <v>0</v>
      </c>
      <c r="AM52" s="41" t="b">
        <f t="shared" si="3"/>
        <v>0</v>
      </c>
      <c r="AN52" s="41" t="b">
        <f t="shared" si="4"/>
        <v>1</v>
      </c>
    </row>
    <row r="53" spans="1:40" x14ac:dyDescent="0.35">
      <c r="A53" s="76"/>
      <c r="B53" s="37">
        <v>49</v>
      </c>
      <c r="C53" s="38" t="s">
        <v>241</v>
      </c>
      <c r="D53" s="38" t="s">
        <v>242</v>
      </c>
      <c r="E53" s="43">
        <v>800</v>
      </c>
      <c r="F53" s="39">
        <v>0</v>
      </c>
      <c r="G53" s="39">
        <v>0.999305555555556</v>
      </c>
      <c r="H53" s="39"/>
      <c r="I53" s="39"/>
      <c r="J53" s="39"/>
      <c r="K53" s="39"/>
      <c r="L53" s="37" t="s">
        <v>41</v>
      </c>
      <c r="M53" s="40" t="s">
        <v>141</v>
      </c>
      <c r="N53" s="40" t="s">
        <v>141</v>
      </c>
      <c r="O53" s="40"/>
      <c r="P53" s="40"/>
      <c r="Q53" s="40"/>
      <c r="R53" s="40"/>
      <c r="S53" s="40" t="s">
        <v>143</v>
      </c>
      <c r="T53" s="40" t="s">
        <v>143</v>
      </c>
      <c r="U53" s="40"/>
      <c r="V53" s="40"/>
      <c r="W53" s="40"/>
      <c r="X53" s="40"/>
      <c r="Y53" s="41">
        <v>7</v>
      </c>
      <c r="Z53" s="41">
        <v>8</v>
      </c>
      <c r="AA53" s="41"/>
      <c r="AB53" s="41"/>
      <c r="AC53" s="41"/>
      <c r="AD53" s="41"/>
      <c r="AE53" s="38" t="s">
        <v>107</v>
      </c>
      <c r="AF53" s="41">
        <v>1</v>
      </c>
      <c r="AG53" s="41">
        <v>2</v>
      </c>
      <c r="AH53" s="41"/>
      <c r="AI53" s="41"/>
      <c r="AJ53" s="41"/>
      <c r="AK53" s="41"/>
      <c r="AL53" s="41" t="b">
        <f t="shared" si="2"/>
        <v>0</v>
      </c>
      <c r="AM53" s="41" t="b">
        <f t="shared" si="3"/>
        <v>0</v>
      </c>
      <c r="AN53" s="41" t="b">
        <f t="shared" si="4"/>
        <v>0</v>
      </c>
    </row>
    <row r="54" spans="1:40" x14ac:dyDescent="0.35">
      <c r="A54" s="76"/>
      <c r="B54" s="37">
        <v>50</v>
      </c>
      <c r="C54" s="38" t="s">
        <v>243</v>
      </c>
      <c r="D54" s="38" t="s">
        <v>244</v>
      </c>
      <c r="E54" s="43">
        <v>3000</v>
      </c>
      <c r="F54" s="39">
        <v>0</v>
      </c>
      <c r="G54" s="39">
        <v>0.999305555555556</v>
      </c>
      <c r="H54" s="39"/>
      <c r="I54" s="39"/>
      <c r="J54" s="39"/>
      <c r="K54" s="39"/>
      <c r="L54" s="37" t="s">
        <v>41</v>
      </c>
      <c r="M54" s="40" t="s">
        <v>143</v>
      </c>
      <c r="N54" s="40" t="s">
        <v>143</v>
      </c>
      <c r="O54" s="40"/>
      <c r="P54" s="40"/>
      <c r="Q54" s="40"/>
      <c r="R54" s="40" t="s">
        <v>141</v>
      </c>
      <c r="S54" s="40" t="s">
        <v>141</v>
      </c>
      <c r="T54" s="40" t="s">
        <v>141</v>
      </c>
      <c r="U54" s="40"/>
      <c r="V54" s="40"/>
      <c r="W54" s="40"/>
      <c r="X54" s="40" t="s">
        <v>143</v>
      </c>
      <c r="Y54" s="41">
        <v>12</v>
      </c>
      <c r="Z54" s="41">
        <v>12</v>
      </c>
      <c r="AA54" s="41">
        <v>1</v>
      </c>
      <c r="AB54" s="41">
        <v>2</v>
      </c>
      <c r="AC54" s="41"/>
      <c r="AD54" s="41"/>
      <c r="AE54" s="38" t="s">
        <v>74</v>
      </c>
      <c r="AF54" s="41">
        <v>6</v>
      </c>
      <c r="AG54" s="41">
        <v>8</v>
      </c>
      <c r="AH54" s="41"/>
      <c r="AI54" s="41"/>
      <c r="AJ54" s="41"/>
      <c r="AK54" s="41"/>
      <c r="AL54" s="41" t="b">
        <f t="shared" si="2"/>
        <v>0</v>
      </c>
      <c r="AM54" s="41" t="b">
        <f t="shared" si="3"/>
        <v>0</v>
      </c>
      <c r="AN54" s="41" t="b">
        <f t="shared" si="4"/>
        <v>0</v>
      </c>
    </row>
    <row r="55" spans="1:40" x14ac:dyDescent="0.35">
      <c r="A55" s="76"/>
      <c r="B55" s="37">
        <v>51</v>
      </c>
      <c r="C55" s="38" t="s">
        <v>245</v>
      </c>
      <c r="D55" s="38" t="s">
        <v>190</v>
      </c>
      <c r="E55" s="43">
        <v>300</v>
      </c>
      <c r="F55" s="39">
        <v>0</v>
      </c>
      <c r="G55" s="39">
        <v>0.999305555555556</v>
      </c>
      <c r="H55" s="39"/>
      <c r="I55" s="39"/>
      <c r="J55" s="39"/>
      <c r="K55" s="39"/>
      <c r="L55" s="37" t="s">
        <v>41</v>
      </c>
      <c r="M55" s="40" t="s">
        <v>141</v>
      </c>
      <c r="N55" s="40" t="s">
        <v>141</v>
      </c>
      <c r="O55" s="40" t="s">
        <v>141</v>
      </c>
      <c r="P55" s="40"/>
      <c r="Q55" s="40"/>
      <c r="R55" s="40"/>
      <c r="S55" s="40" t="s">
        <v>143</v>
      </c>
      <c r="T55" s="40" t="s">
        <v>143</v>
      </c>
      <c r="U55" s="40" t="s">
        <v>143</v>
      </c>
      <c r="V55" s="40"/>
      <c r="W55" s="40"/>
      <c r="X55" s="40"/>
      <c r="Y55" s="41">
        <v>7</v>
      </c>
      <c r="Z55" s="41">
        <v>9</v>
      </c>
      <c r="AA55" s="41"/>
      <c r="AB55" s="41"/>
      <c r="AC55" s="41"/>
      <c r="AD55" s="41"/>
      <c r="AE55" s="38" t="s">
        <v>75</v>
      </c>
      <c r="AF55" s="41">
        <v>1</v>
      </c>
      <c r="AG55" s="41">
        <v>3</v>
      </c>
      <c r="AH55" s="41"/>
      <c r="AI55" s="41"/>
      <c r="AJ55" s="41"/>
      <c r="AK55" s="41"/>
      <c r="AL55" s="41" t="b">
        <f t="shared" si="2"/>
        <v>0</v>
      </c>
      <c r="AM55" s="41" t="b">
        <f t="shared" si="3"/>
        <v>0</v>
      </c>
      <c r="AN55" s="41" t="b">
        <f t="shared" si="4"/>
        <v>0</v>
      </c>
    </row>
    <row r="56" spans="1:40" x14ac:dyDescent="0.35">
      <c r="A56" s="76"/>
      <c r="B56" s="37">
        <v>52</v>
      </c>
      <c r="C56" s="38" t="s">
        <v>246</v>
      </c>
      <c r="D56" s="38" t="s">
        <v>187</v>
      </c>
      <c r="E56" s="43">
        <v>10000</v>
      </c>
      <c r="F56" s="39">
        <v>0</v>
      </c>
      <c r="G56" s="39">
        <v>0.33333333333333331</v>
      </c>
      <c r="H56" s="39">
        <v>0.95833333333333337</v>
      </c>
      <c r="I56" s="39">
        <v>0.99930555555555556</v>
      </c>
      <c r="J56" s="39"/>
      <c r="K56" s="39"/>
      <c r="L56" s="37" t="s">
        <v>247</v>
      </c>
      <c r="M56" s="40" t="s">
        <v>141</v>
      </c>
      <c r="N56" s="40" t="s">
        <v>141</v>
      </c>
      <c r="O56" s="40"/>
      <c r="P56" s="40"/>
      <c r="Q56" s="40"/>
      <c r="R56" s="40"/>
      <c r="S56" s="40" t="s">
        <v>143</v>
      </c>
      <c r="T56" s="40" t="s">
        <v>143</v>
      </c>
      <c r="U56" s="40"/>
      <c r="V56" s="40"/>
      <c r="W56" s="40"/>
      <c r="X56" s="40"/>
      <c r="Y56" s="41">
        <v>7</v>
      </c>
      <c r="Z56" s="41">
        <v>8</v>
      </c>
      <c r="AA56" s="41"/>
      <c r="AB56" s="41"/>
      <c r="AC56" s="41"/>
      <c r="AD56" s="41"/>
      <c r="AE56" s="38" t="s">
        <v>107</v>
      </c>
      <c r="AF56" s="41">
        <v>1</v>
      </c>
      <c r="AG56" s="41">
        <v>2</v>
      </c>
      <c r="AH56" s="41"/>
      <c r="AI56" s="41"/>
      <c r="AJ56" s="41"/>
      <c r="AK56" s="41"/>
      <c r="AL56" s="41" t="b">
        <f t="shared" si="2"/>
        <v>0</v>
      </c>
      <c r="AM56" s="41" t="b">
        <f t="shared" si="3"/>
        <v>0</v>
      </c>
      <c r="AN56" s="41" t="b">
        <f t="shared" si="4"/>
        <v>0</v>
      </c>
    </row>
    <row r="57" spans="1:40" x14ac:dyDescent="0.35">
      <c r="A57" s="76"/>
      <c r="B57" s="37">
        <v>53</v>
      </c>
      <c r="C57" s="38" t="s">
        <v>248</v>
      </c>
      <c r="D57" s="38" t="s">
        <v>187</v>
      </c>
      <c r="E57" s="43">
        <v>200</v>
      </c>
      <c r="F57" s="39">
        <v>0</v>
      </c>
      <c r="G57" s="39">
        <v>0.999305555555556</v>
      </c>
      <c r="H57" s="39"/>
      <c r="I57" s="39"/>
      <c r="J57" s="39"/>
      <c r="K57" s="39"/>
      <c r="L57" s="37" t="s">
        <v>41</v>
      </c>
      <c r="M57" s="40" t="s">
        <v>141</v>
      </c>
      <c r="N57" s="40" t="s">
        <v>141</v>
      </c>
      <c r="O57" s="40"/>
      <c r="P57" s="40"/>
      <c r="Q57" s="40"/>
      <c r="R57" s="40" t="s">
        <v>143</v>
      </c>
      <c r="S57" s="40" t="s">
        <v>143</v>
      </c>
      <c r="T57" s="40" t="s">
        <v>143</v>
      </c>
      <c r="U57" s="40"/>
      <c r="V57" s="40"/>
      <c r="W57" s="40"/>
      <c r="X57" s="40" t="s">
        <v>141</v>
      </c>
      <c r="Y57" s="41">
        <v>6</v>
      </c>
      <c r="Z57" s="41">
        <v>8</v>
      </c>
      <c r="AA57" s="41"/>
      <c r="AB57" s="41"/>
      <c r="AC57" s="41"/>
      <c r="AD57" s="41"/>
      <c r="AE57" s="38" t="s">
        <v>67</v>
      </c>
      <c r="AF57" s="41">
        <v>12</v>
      </c>
      <c r="AG57" s="41">
        <v>12</v>
      </c>
      <c r="AH57" s="41">
        <v>1</v>
      </c>
      <c r="AI57" s="41">
        <v>2</v>
      </c>
      <c r="AJ57" s="41"/>
      <c r="AK57" s="41"/>
      <c r="AL57" s="41" t="b">
        <f t="shared" si="2"/>
        <v>0</v>
      </c>
      <c r="AM57" s="41" t="b">
        <f t="shared" si="3"/>
        <v>0</v>
      </c>
      <c r="AN57" s="41" t="b">
        <f t="shared" si="4"/>
        <v>0</v>
      </c>
    </row>
    <row r="58" spans="1:40" x14ac:dyDescent="0.35">
      <c r="A58" s="76"/>
      <c r="B58" s="37">
        <v>54</v>
      </c>
      <c r="C58" s="38" t="s">
        <v>249</v>
      </c>
      <c r="D58" s="38" t="s">
        <v>242</v>
      </c>
      <c r="E58" s="43">
        <v>8000</v>
      </c>
      <c r="F58" s="39">
        <v>0.70833333333333337</v>
      </c>
      <c r="G58" s="39">
        <v>0.99930555555555556</v>
      </c>
      <c r="H58" s="39">
        <v>0</v>
      </c>
      <c r="I58" s="39">
        <v>0.33333333333333331</v>
      </c>
      <c r="J58" s="39"/>
      <c r="K58" s="39"/>
      <c r="L58" s="37" t="s">
        <v>173</v>
      </c>
      <c r="M58" s="40" t="s">
        <v>141</v>
      </c>
      <c r="N58" s="40" t="s">
        <v>141</v>
      </c>
      <c r="O58" s="40" t="s">
        <v>141</v>
      </c>
      <c r="P58" s="40"/>
      <c r="Q58" s="40"/>
      <c r="R58" s="40" t="s">
        <v>143</v>
      </c>
      <c r="S58" s="40" t="s">
        <v>143</v>
      </c>
      <c r="T58" s="40" t="s">
        <v>143</v>
      </c>
      <c r="U58" s="40" t="s">
        <v>143</v>
      </c>
      <c r="V58" s="40"/>
      <c r="W58" s="40"/>
      <c r="X58" s="40" t="s">
        <v>141</v>
      </c>
      <c r="Y58" s="41">
        <v>6</v>
      </c>
      <c r="Z58" s="41">
        <v>9</v>
      </c>
      <c r="AA58" s="41"/>
      <c r="AB58" s="41"/>
      <c r="AC58" s="41"/>
      <c r="AD58" s="41"/>
      <c r="AE58" s="38" t="s">
        <v>95</v>
      </c>
      <c r="AF58" s="41">
        <v>12</v>
      </c>
      <c r="AG58" s="41">
        <v>12</v>
      </c>
      <c r="AH58" s="41">
        <v>1</v>
      </c>
      <c r="AI58" s="41">
        <v>3</v>
      </c>
      <c r="AJ58" s="41"/>
      <c r="AK58" s="41"/>
      <c r="AL58" s="41" t="b">
        <f t="shared" si="2"/>
        <v>0</v>
      </c>
      <c r="AM58" s="41" t="b">
        <f t="shared" si="3"/>
        <v>0</v>
      </c>
      <c r="AN58" s="41" t="b">
        <f t="shared" si="4"/>
        <v>0</v>
      </c>
    </row>
    <row r="59" spans="1:40" x14ac:dyDescent="0.35">
      <c r="A59" s="76"/>
      <c r="B59" s="37">
        <v>55</v>
      </c>
      <c r="C59" s="38" t="s">
        <v>250</v>
      </c>
      <c r="D59" s="38" t="s">
        <v>187</v>
      </c>
      <c r="E59" s="43">
        <v>2000</v>
      </c>
      <c r="F59" s="39">
        <v>0</v>
      </c>
      <c r="G59" s="39">
        <v>0.999305555555556</v>
      </c>
      <c r="H59" s="39"/>
      <c r="I59" s="39"/>
      <c r="J59" s="39"/>
      <c r="K59" s="39"/>
      <c r="L59" s="37" t="s">
        <v>41</v>
      </c>
      <c r="M59" s="40" t="s">
        <v>141</v>
      </c>
      <c r="N59" s="40" t="s">
        <v>141</v>
      </c>
      <c r="O59" s="40"/>
      <c r="P59" s="40"/>
      <c r="Q59" s="40"/>
      <c r="R59" s="40"/>
      <c r="S59" s="40" t="s">
        <v>143</v>
      </c>
      <c r="T59" s="40" t="s">
        <v>143</v>
      </c>
      <c r="U59" s="40"/>
      <c r="V59" s="40"/>
      <c r="W59" s="40"/>
      <c r="X59" s="40"/>
      <c r="Y59" s="41">
        <v>7</v>
      </c>
      <c r="Z59" s="41">
        <v>8</v>
      </c>
      <c r="AA59" s="41"/>
      <c r="AB59" s="41"/>
      <c r="AC59" s="41"/>
      <c r="AD59" s="41"/>
      <c r="AE59" s="38" t="s">
        <v>107</v>
      </c>
      <c r="AF59" s="41">
        <v>1</v>
      </c>
      <c r="AG59" s="41">
        <v>2</v>
      </c>
      <c r="AH59" s="41"/>
      <c r="AI59" s="41"/>
      <c r="AJ59" s="41"/>
      <c r="AK59" s="41"/>
      <c r="AL59" s="41" t="b">
        <f t="shared" si="2"/>
        <v>0</v>
      </c>
      <c r="AM59" s="41" t="b">
        <f t="shared" si="3"/>
        <v>0</v>
      </c>
      <c r="AN59" s="41" t="b">
        <f t="shared" si="4"/>
        <v>0</v>
      </c>
    </row>
    <row r="60" spans="1:40" x14ac:dyDescent="0.35">
      <c r="A60" s="76"/>
      <c r="B60" s="37">
        <v>56</v>
      </c>
      <c r="C60" s="38" t="s">
        <v>251</v>
      </c>
      <c r="D60" s="38" t="s">
        <v>187</v>
      </c>
      <c r="E60" s="43">
        <v>1000</v>
      </c>
      <c r="F60" s="39">
        <v>0</v>
      </c>
      <c r="G60" s="39">
        <v>0.999305555555556</v>
      </c>
      <c r="H60" s="39"/>
      <c r="I60" s="39"/>
      <c r="J60" s="39"/>
      <c r="K60" s="39"/>
      <c r="L60" s="37" t="s">
        <v>41</v>
      </c>
      <c r="M60" s="40" t="s">
        <v>141</v>
      </c>
      <c r="N60" s="40" t="s">
        <v>141</v>
      </c>
      <c r="O60" s="40"/>
      <c r="P60" s="40"/>
      <c r="Q60" s="40"/>
      <c r="R60" s="40"/>
      <c r="S60" s="40" t="s">
        <v>143</v>
      </c>
      <c r="T60" s="40" t="s">
        <v>143</v>
      </c>
      <c r="U60" s="40"/>
      <c r="V60" s="40"/>
      <c r="W60" s="40"/>
      <c r="X60" s="40"/>
      <c r="Y60" s="41">
        <v>7</v>
      </c>
      <c r="Z60" s="41">
        <v>8</v>
      </c>
      <c r="AA60" s="41"/>
      <c r="AB60" s="41"/>
      <c r="AC60" s="41"/>
      <c r="AD60" s="41"/>
      <c r="AE60" s="38" t="s">
        <v>107</v>
      </c>
      <c r="AF60" s="41">
        <v>1</v>
      </c>
      <c r="AG60" s="41">
        <v>2</v>
      </c>
      <c r="AH60" s="41"/>
      <c r="AI60" s="41"/>
      <c r="AJ60" s="41"/>
      <c r="AK60" s="41"/>
      <c r="AL60" s="41" t="b">
        <f t="shared" si="2"/>
        <v>0</v>
      </c>
      <c r="AM60" s="41" t="b">
        <f t="shared" si="3"/>
        <v>0</v>
      </c>
      <c r="AN60" s="41" t="b">
        <f t="shared" si="4"/>
        <v>0</v>
      </c>
    </row>
    <row r="61" spans="1:40" x14ac:dyDescent="0.35">
      <c r="A61" s="76"/>
      <c r="B61" s="37">
        <v>57</v>
      </c>
      <c r="C61" s="38" t="s">
        <v>252</v>
      </c>
      <c r="D61" s="38" t="s">
        <v>187</v>
      </c>
      <c r="E61" s="43">
        <v>10000</v>
      </c>
      <c r="F61" s="39">
        <v>0</v>
      </c>
      <c r="G61" s="39">
        <v>0.33333333333333331</v>
      </c>
      <c r="H61" s="39">
        <v>0.95833333333333337</v>
      </c>
      <c r="I61" s="39">
        <v>0.99930555555555556</v>
      </c>
      <c r="J61" s="39"/>
      <c r="K61" s="39"/>
      <c r="L61" s="37" t="s">
        <v>247</v>
      </c>
      <c r="M61" s="40" t="s">
        <v>141</v>
      </c>
      <c r="N61" s="40" t="s">
        <v>141</v>
      </c>
      <c r="O61" s="40"/>
      <c r="P61" s="40"/>
      <c r="Q61" s="40"/>
      <c r="R61" s="40"/>
      <c r="S61" s="40" t="s">
        <v>143</v>
      </c>
      <c r="T61" s="40" t="s">
        <v>143</v>
      </c>
      <c r="U61" s="40"/>
      <c r="V61" s="40"/>
      <c r="W61" s="40"/>
      <c r="X61" s="40"/>
      <c r="Y61" s="41">
        <v>7</v>
      </c>
      <c r="Z61" s="41">
        <v>8</v>
      </c>
      <c r="AA61" s="41"/>
      <c r="AB61" s="41"/>
      <c r="AC61" s="41"/>
      <c r="AD61" s="41"/>
      <c r="AE61" s="38" t="s">
        <v>107</v>
      </c>
      <c r="AF61" s="41">
        <v>1</v>
      </c>
      <c r="AG61" s="41">
        <v>2</v>
      </c>
      <c r="AH61" s="41"/>
      <c r="AI61" s="41"/>
      <c r="AJ61" s="41"/>
      <c r="AK61" s="41"/>
      <c r="AL61" s="41" t="b">
        <f t="shared" si="2"/>
        <v>0</v>
      </c>
      <c r="AM61" s="41" t="b">
        <f t="shared" si="3"/>
        <v>0</v>
      </c>
      <c r="AN61" s="41" t="b">
        <f t="shared" si="4"/>
        <v>0</v>
      </c>
    </row>
    <row r="62" spans="1:40" x14ac:dyDescent="0.35">
      <c r="A62" s="76"/>
      <c r="B62" s="37">
        <v>58</v>
      </c>
      <c r="C62" s="38" t="s">
        <v>253</v>
      </c>
      <c r="D62" s="38" t="s">
        <v>187</v>
      </c>
      <c r="E62" s="43">
        <v>6000</v>
      </c>
      <c r="F62" s="39">
        <v>0.79166666666666696</v>
      </c>
      <c r="G62" s="39">
        <v>0.999305555555556</v>
      </c>
      <c r="H62" s="39">
        <v>0</v>
      </c>
      <c r="I62" s="39">
        <v>0.33333333333333331</v>
      </c>
      <c r="J62" s="39"/>
      <c r="K62" s="39"/>
      <c r="L62" s="37" t="s">
        <v>227</v>
      </c>
      <c r="M62" s="40" t="s">
        <v>141</v>
      </c>
      <c r="N62" s="40" t="s">
        <v>141</v>
      </c>
      <c r="O62" s="40" t="s">
        <v>141</v>
      </c>
      <c r="P62" s="40"/>
      <c r="Q62" s="40"/>
      <c r="R62" s="40" t="s">
        <v>143</v>
      </c>
      <c r="S62" s="40" t="s">
        <v>143</v>
      </c>
      <c r="T62" s="40" t="s">
        <v>143</v>
      </c>
      <c r="U62" s="40" t="s">
        <v>143</v>
      </c>
      <c r="V62" s="40"/>
      <c r="W62" s="40"/>
      <c r="X62" s="40" t="s">
        <v>141</v>
      </c>
      <c r="Y62" s="41">
        <v>6</v>
      </c>
      <c r="Z62" s="41">
        <v>9</v>
      </c>
      <c r="AA62" s="41"/>
      <c r="AB62" s="41"/>
      <c r="AC62" s="41"/>
      <c r="AD62" s="41"/>
      <c r="AE62" s="38" t="s">
        <v>95</v>
      </c>
      <c r="AF62" s="41">
        <v>12</v>
      </c>
      <c r="AG62" s="41">
        <v>12</v>
      </c>
      <c r="AH62" s="41">
        <v>1</v>
      </c>
      <c r="AI62" s="41">
        <v>3</v>
      </c>
      <c r="AJ62" s="41"/>
      <c r="AK62" s="41"/>
      <c r="AL62" s="41" t="b">
        <f t="shared" si="2"/>
        <v>0</v>
      </c>
      <c r="AM62" s="41" t="b">
        <f t="shared" si="3"/>
        <v>0</v>
      </c>
      <c r="AN62" s="41" t="b">
        <f t="shared" si="4"/>
        <v>0</v>
      </c>
    </row>
    <row r="63" spans="1:40" x14ac:dyDescent="0.35">
      <c r="A63" s="76"/>
      <c r="B63" s="37">
        <v>59</v>
      </c>
      <c r="C63" s="38" t="s">
        <v>254</v>
      </c>
      <c r="D63" s="38" t="s">
        <v>242</v>
      </c>
      <c r="E63" s="43">
        <v>8000</v>
      </c>
      <c r="F63" s="39">
        <v>0.70833333333333337</v>
      </c>
      <c r="G63" s="39">
        <v>0.99930555555555556</v>
      </c>
      <c r="H63" s="39">
        <v>0</v>
      </c>
      <c r="I63" s="39">
        <v>0.33333333333333331</v>
      </c>
      <c r="J63" s="39"/>
      <c r="K63" s="39"/>
      <c r="L63" s="37" t="s">
        <v>173</v>
      </c>
      <c r="M63" s="40" t="s">
        <v>141</v>
      </c>
      <c r="N63" s="40" t="s">
        <v>141</v>
      </c>
      <c r="O63" s="40"/>
      <c r="P63" s="40"/>
      <c r="Q63" s="40"/>
      <c r="R63" s="40"/>
      <c r="S63" s="40" t="s">
        <v>143</v>
      </c>
      <c r="T63" s="40" t="s">
        <v>143</v>
      </c>
      <c r="U63" s="40"/>
      <c r="V63" s="40"/>
      <c r="W63" s="40"/>
      <c r="X63" s="40"/>
      <c r="Y63" s="41">
        <v>7</v>
      </c>
      <c r="Z63" s="41">
        <v>8</v>
      </c>
      <c r="AA63" s="41"/>
      <c r="AB63" s="41"/>
      <c r="AC63" s="41"/>
      <c r="AD63" s="41"/>
      <c r="AE63" s="38" t="s">
        <v>107</v>
      </c>
      <c r="AF63" s="41">
        <v>1</v>
      </c>
      <c r="AG63" s="41">
        <v>2</v>
      </c>
      <c r="AH63" s="41"/>
      <c r="AI63" s="41"/>
      <c r="AJ63" s="41"/>
      <c r="AK63" s="41"/>
      <c r="AL63" s="41" t="b">
        <f t="shared" si="2"/>
        <v>0</v>
      </c>
      <c r="AM63" s="41" t="b">
        <f t="shared" si="3"/>
        <v>0</v>
      </c>
      <c r="AN63" s="41" t="b">
        <f t="shared" si="4"/>
        <v>0</v>
      </c>
    </row>
    <row r="64" spans="1:40" x14ac:dyDescent="0.35">
      <c r="A64" s="76"/>
      <c r="B64" s="37">
        <v>60</v>
      </c>
      <c r="C64" s="38" t="s">
        <v>255</v>
      </c>
      <c r="D64" s="38" t="s">
        <v>242</v>
      </c>
      <c r="E64" s="43">
        <v>12000</v>
      </c>
      <c r="F64" s="39">
        <v>0.70833333333333337</v>
      </c>
      <c r="G64" s="39">
        <v>0.99930555555555556</v>
      </c>
      <c r="H64" s="39">
        <v>0</v>
      </c>
      <c r="I64" s="39">
        <v>0.33333333333333331</v>
      </c>
      <c r="J64" s="39"/>
      <c r="K64" s="39"/>
      <c r="L64" s="37" t="s">
        <v>173</v>
      </c>
      <c r="M64" s="40" t="s">
        <v>141</v>
      </c>
      <c r="N64" s="40" t="s">
        <v>141</v>
      </c>
      <c r="O64" s="40"/>
      <c r="P64" s="40"/>
      <c r="Q64" s="40"/>
      <c r="R64" s="40"/>
      <c r="S64" s="40" t="s">
        <v>143</v>
      </c>
      <c r="T64" s="40" t="s">
        <v>143</v>
      </c>
      <c r="U64" s="40"/>
      <c r="V64" s="40"/>
      <c r="W64" s="40"/>
      <c r="X64" s="40"/>
      <c r="Y64" s="41">
        <v>7</v>
      </c>
      <c r="Z64" s="41">
        <v>8</v>
      </c>
      <c r="AA64" s="41"/>
      <c r="AB64" s="41"/>
      <c r="AC64" s="41"/>
      <c r="AD64" s="41"/>
      <c r="AE64" s="38" t="s">
        <v>107</v>
      </c>
      <c r="AF64" s="41">
        <v>1</v>
      </c>
      <c r="AG64" s="41">
        <v>2</v>
      </c>
      <c r="AH64" s="41"/>
      <c r="AI64" s="41"/>
      <c r="AJ64" s="41"/>
      <c r="AK64" s="41"/>
      <c r="AL64" s="41" t="b">
        <f t="shared" si="2"/>
        <v>0</v>
      </c>
      <c r="AM64" s="41" t="b">
        <f t="shared" si="3"/>
        <v>0</v>
      </c>
      <c r="AN64" s="41" t="b">
        <f t="shared" si="4"/>
        <v>0</v>
      </c>
    </row>
    <row r="65" spans="1:40" x14ac:dyDescent="0.35">
      <c r="A65" s="76"/>
      <c r="B65" s="37">
        <v>61</v>
      </c>
      <c r="C65" s="38" t="s">
        <v>256</v>
      </c>
      <c r="D65" s="38" t="s">
        <v>242</v>
      </c>
      <c r="E65" s="43">
        <v>12000</v>
      </c>
      <c r="F65" s="39">
        <v>0.70833333333333337</v>
      </c>
      <c r="G65" s="39">
        <v>0.99930555555555556</v>
      </c>
      <c r="H65" s="39">
        <v>0</v>
      </c>
      <c r="I65" s="39">
        <v>0.33333333333333331</v>
      </c>
      <c r="J65" s="39"/>
      <c r="K65" s="39"/>
      <c r="L65" s="37" t="s">
        <v>173</v>
      </c>
      <c r="M65" s="40" t="s">
        <v>141</v>
      </c>
      <c r="N65" s="40" t="s">
        <v>141</v>
      </c>
      <c r="O65" s="40"/>
      <c r="P65" s="40"/>
      <c r="Q65" s="40"/>
      <c r="R65" s="40"/>
      <c r="S65" s="40" t="s">
        <v>143</v>
      </c>
      <c r="T65" s="40" t="s">
        <v>143</v>
      </c>
      <c r="U65" s="40"/>
      <c r="V65" s="40"/>
      <c r="W65" s="40"/>
      <c r="X65" s="40"/>
      <c r="Y65" s="41">
        <v>7</v>
      </c>
      <c r="Z65" s="41">
        <v>8</v>
      </c>
      <c r="AA65" s="41"/>
      <c r="AB65" s="41"/>
      <c r="AC65" s="41"/>
      <c r="AD65" s="41"/>
      <c r="AE65" s="38" t="s">
        <v>107</v>
      </c>
      <c r="AF65" s="41">
        <v>1</v>
      </c>
      <c r="AG65" s="41">
        <v>2</v>
      </c>
      <c r="AH65" s="41"/>
      <c r="AI65" s="41"/>
      <c r="AJ65" s="41"/>
      <c r="AK65" s="41"/>
      <c r="AL65" s="41" t="b">
        <f t="shared" si="2"/>
        <v>0</v>
      </c>
      <c r="AM65" s="41" t="b">
        <f t="shared" si="3"/>
        <v>0</v>
      </c>
      <c r="AN65" s="41" t="b">
        <f t="shared" si="4"/>
        <v>0</v>
      </c>
    </row>
    <row r="66" spans="1:40" x14ac:dyDescent="0.35">
      <c r="A66" s="76"/>
      <c r="B66" s="37">
        <v>62</v>
      </c>
      <c r="C66" s="38" t="s">
        <v>257</v>
      </c>
      <c r="D66" s="38" t="s">
        <v>187</v>
      </c>
      <c r="E66" s="43">
        <v>1350</v>
      </c>
      <c r="F66" s="39">
        <v>0.70833333333333337</v>
      </c>
      <c r="G66" s="39">
        <v>0.99930555555555556</v>
      </c>
      <c r="H66" s="39">
        <v>0</v>
      </c>
      <c r="I66" s="39">
        <v>0.33333333333333331</v>
      </c>
      <c r="J66" s="39"/>
      <c r="K66" s="39"/>
      <c r="L66" s="37" t="s">
        <v>173</v>
      </c>
      <c r="M66" s="40" t="s">
        <v>141</v>
      </c>
      <c r="N66" s="40" t="s">
        <v>141</v>
      </c>
      <c r="O66" s="40"/>
      <c r="P66" s="40"/>
      <c r="Q66" s="40"/>
      <c r="R66" s="40"/>
      <c r="S66" s="40" t="s">
        <v>143</v>
      </c>
      <c r="T66" s="40" t="s">
        <v>143</v>
      </c>
      <c r="U66" s="40"/>
      <c r="V66" s="40"/>
      <c r="W66" s="40"/>
      <c r="X66" s="40"/>
      <c r="Y66" s="41">
        <v>7</v>
      </c>
      <c r="Z66" s="41">
        <v>8</v>
      </c>
      <c r="AA66" s="41"/>
      <c r="AB66" s="41"/>
      <c r="AC66" s="41"/>
      <c r="AD66" s="41"/>
      <c r="AE66" s="38" t="s">
        <v>107</v>
      </c>
      <c r="AF66" s="41">
        <v>1</v>
      </c>
      <c r="AG66" s="41">
        <v>2</v>
      </c>
      <c r="AH66" s="41"/>
      <c r="AI66" s="41"/>
      <c r="AJ66" s="41"/>
      <c r="AK66" s="41"/>
      <c r="AL66" s="41" t="b">
        <f t="shared" si="2"/>
        <v>0</v>
      </c>
      <c r="AM66" s="41" t="b">
        <f t="shared" si="3"/>
        <v>0</v>
      </c>
      <c r="AN66" s="41" t="b">
        <f t="shared" si="4"/>
        <v>0</v>
      </c>
    </row>
    <row r="67" spans="1:40" x14ac:dyDescent="0.35">
      <c r="A67" s="76"/>
      <c r="B67" s="37">
        <v>63</v>
      </c>
      <c r="C67" s="38" t="s">
        <v>258</v>
      </c>
      <c r="D67" s="38" t="s">
        <v>242</v>
      </c>
      <c r="E67" s="43">
        <v>8000</v>
      </c>
      <c r="F67" s="39">
        <v>0.70833333333333337</v>
      </c>
      <c r="G67" s="39">
        <v>0.99930555555555556</v>
      </c>
      <c r="H67" s="39">
        <v>0</v>
      </c>
      <c r="I67" s="39">
        <v>0.33333333333333331</v>
      </c>
      <c r="J67" s="39"/>
      <c r="K67" s="39"/>
      <c r="L67" s="37" t="s">
        <v>173</v>
      </c>
      <c r="M67" s="40" t="s">
        <v>141</v>
      </c>
      <c r="N67" s="40" t="s">
        <v>141</v>
      </c>
      <c r="O67" s="40"/>
      <c r="P67" s="40"/>
      <c r="Q67" s="40"/>
      <c r="R67" s="40"/>
      <c r="S67" s="40" t="s">
        <v>143</v>
      </c>
      <c r="T67" s="40" t="s">
        <v>143</v>
      </c>
      <c r="U67" s="40"/>
      <c r="V67" s="40"/>
      <c r="W67" s="40"/>
      <c r="X67" s="40"/>
      <c r="Y67" s="41">
        <v>7</v>
      </c>
      <c r="Z67" s="41">
        <v>8</v>
      </c>
      <c r="AA67" s="41"/>
      <c r="AB67" s="41"/>
      <c r="AC67" s="41"/>
      <c r="AD67" s="41"/>
      <c r="AE67" s="38" t="s">
        <v>107</v>
      </c>
      <c r="AF67" s="41">
        <v>1</v>
      </c>
      <c r="AG67" s="41">
        <v>2</v>
      </c>
      <c r="AH67" s="41"/>
      <c r="AI67" s="41"/>
      <c r="AJ67" s="41"/>
      <c r="AK67" s="41"/>
      <c r="AL67" s="41" t="b">
        <f t="shared" si="2"/>
        <v>0</v>
      </c>
      <c r="AM67" s="41" t="b">
        <f t="shared" si="3"/>
        <v>0</v>
      </c>
      <c r="AN67" s="41" t="b">
        <f t="shared" si="4"/>
        <v>0</v>
      </c>
    </row>
    <row r="68" spans="1:40" x14ac:dyDescent="0.35">
      <c r="A68" s="76"/>
      <c r="B68" s="37">
        <v>64</v>
      </c>
      <c r="C68" s="38" t="s">
        <v>259</v>
      </c>
      <c r="D68" s="38" t="s">
        <v>242</v>
      </c>
      <c r="E68" s="43">
        <v>8000</v>
      </c>
      <c r="F68" s="39">
        <v>0.70833333333333337</v>
      </c>
      <c r="G68" s="39">
        <v>0.99930555555555556</v>
      </c>
      <c r="H68" s="39">
        <v>0</v>
      </c>
      <c r="I68" s="39">
        <v>0.33333333333333331</v>
      </c>
      <c r="J68" s="39"/>
      <c r="K68" s="39"/>
      <c r="L68" s="37" t="s">
        <v>173</v>
      </c>
      <c r="M68" s="40" t="s">
        <v>141</v>
      </c>
      <c r="N68" s="40" t="s">
        <v>141</v>
      </c>
      <c r="O68" s="40"/>
      <c r="P68" s="40"/>
      <c r="Q68" s="40"/>
      <c r="R68" s="40"/>
      <c r="S68" s="40" t="s">
        <v>143</v>
      </c>
      <c r="T68" s="40" t="s">
        <v>143</v>
      </c>
      <c r="U68" s="40"/>
      <c r="V68" s="40"/>
      <c r="W68" s="40"/>
      <c r="X68" s="40"/>
      <c r="Y68" s="41">
        <v>7</v>
      </c>
      <c r="Z68" s="41">
        <v>8</v>
      </c>
      <c r="AA68" s="41"/>
      <c r="AB68" s="41"/>
      <c r="AC68" s="41"/>
      <c r="AD68" s="41"/>
      <c r="AE68" s="38" t="s">
        <v>107</v>
      </c>
      <c r="AF68" s="41">
        <v>1</v>
      </c>
      <c r="AG68" s="41">
        <v>2</v>
      </c>
      <c r="AH68" s="41"/>
      <c r="AI68" s="41"/>
      <c r="AJ68" s="41"/>
      <c r="AK68" s="41"/>
      <c r="AL68" s="41" t="b">
        <f t="shared" si="2"/>
        <v>0</v>
      </c>
      <c r="AM68" s="41" t="b">
        <f t="shared" si="3"/>
        <v>0</v>
      </c>
      <c r="AN68" s="41" t="b">
        <f t="shared" si="4"/>
        <v>0</v>
      </c>
    </row>
    <row r="69" spans="1:40" x14ac:dyDescent="0.35">
      <c r="A69" s="76"/>
      <c r="B69" s="37">
        <v>65</v>
      </c>
      <c r="C69" s="38" t="s">
        <v>260</v>
      </c>
      <c r="D69" s="38" t="s">
        <v>242</v>
      </c>
      <c r="E69" s="43">
        <v>12000</v>
      </c>
      <c r="F69" s="39">
        <v>0.70833333333333337</v>
      </c>
      <c r="G69" s="39">
        <v>0.99930555555555556</v>
      </c>
      <c r="H69" s="39">
        <v>0</v>
      </c>
      <c r="I69" s="39">
        <v>0.33333333333333331</v>
      </c>
      <c r="J69" s="39"/>
      <c r="K69" s="39"/>
      <c r="L69" s="37" t="s">
        <v>173</v>
      </c>
      <c r="M69" s="40" t="s">
        <v>141</v>
      </c>
      <c r="N69" s="40" t="s">
        <v>141</v>
      </c>
      <c r="O69" s="40"/>
      <c r="P69" s="40"/>
      <c r="Q69" s="40"/>
      <c r="R69" s="40"/>
      <c r="S69" s="40" t="s">
        <v>143</v>
      </c>
      <c r="T69" s="40" t="s">
        <v>143</v>
      </c>
      <c r="U69" s="40"/>
      <c r="V69" s="40"/>
      <c r="W69" s="40"/>
      <c r="X69" s="40"/>
      <c r="Y69" s="41">
        <v>7</v>
      </c>
      <c r="Z69" s="41">
        <v>8</v>
      </c>
      <c r="AA69" s="41"/>
      <c r="AB69" s="41"/>
      <c r="AC69" s="41"/>
      <c r="AD69" s="41"/>
      <c r="AE69" s="38" t="s">
        <v>107</v>
      </c>
      <c r="AF69" s="41">
        <v>1</v>
      </c>
      <c r="AG69" s="41">
        <v>2</v>
      </c>
      <c r="AH69" s="41"/>
      <c r="AI69" s="41"/>
      <c r="AJ69" s="41"/>
      <c r="AK69" s="41"/>
      <c r="AL69" s="41" t="b">
        <f t="shared" si="2"/>
        <v>0</v>
      </c>
      <c r="AM69" s="41" t="b">
        <f t="shared" ref="AM69:AM84" si="5">AND(OR(AND(Y69&lt;=Y$2,Z69&gt;=Y$2), AND(AA69&lt;=Y$2,AB69&gt;=Y$2), AND(AC69&lt;=Y$2,AD69&gt;=Y$2)), OR(AND(F69&lt;=F$2, G69&gt;=F$2),AND(H69&lt;=F$2,I69&gt;=F$2),AND(J69&lt;=F$2,K69&gt;=F$2)))</f>
        <v>0</v>
      </c>
      <c r="AN69" s="41" t="b">
        <f t="shared" ref="AN69:AN84" si="6">AND(OR(AND(AF69&lt;=Y$2,AG69&gt;=Y$2), AND(AH69&lt;=Y$2,AI69&gt;=Y$2), AND(AJ69&lt;=Y$2,AK69&gt;=Y$2)), OR(AND(F69&lt;=F$2, G69&gt;=F$2),AND(H69&lt;=F$2,I69&gt;=F$2),AND(J69&lt;=F$2,K69&gt;=F$2)))</f>
        <v>0</v>
      </c>
    </row>
    <row r="70" spans="1:40" x14ac:dyDescent="0.35">
      <c r="A70" s="76"/>
      <c r="B70" s="37">
        <v>66</v>
      </c>
      <c r="C70" s="38" t="s">
        <v>261</v>
      </c>
      <c r="D70" s="38" t="s">
        <v>187</v>
      </c>
      <c r="E70" s="43">
        <v>600</v>
      </c>
      <c r="F70" s="39">
        <v>0.16666666666666666</v>
      </c>
      <c r="G70" s="39">
        <v>0.33333333333333331</v>
      </c>
      <c r="H70" s="39">
        <v>0.70833333333333337</v>
      </c>
      <c r="I70" s="39">
        <v>0.79166666666666663</v>
      </c>
      <c r="J70" s="39"/>
      <c r="K70" s="39"/>
      <c r="L70" s="37" t="s">
        <v>262</v>
      </c>
      <c r="M70" s="40" t="s">
        <v>141</v>
      </c>
      <c r="N70" s="40" t="s">
        <v>141</v>
      </c>
      <c r="O70" s="40" t="s">
        <v>141</v>
      </c>
      <c r="P70" s="40" t="s">
        <v>141</v>
      </c>
      <c r="Q70" s="40" t="s">
        <v>141</v>
      </c>
      <c r="R70" s="40"/>
      <c r="S70" s="40" t="s">
        <v>143</v>
      </c>
      <c r="T70" s="40" t="s">
        <v>143</v>
      </c>
      <c r="U70" s="40" t="s">
        <v>143</v>
      </c>
      <c r="V70" s="40" t="s">
        <v>143</v>
      </c>
      <c r="W70" s="40" t="s">
        <v>143</v>
      </c>
      <c r="X70" s="40"/>
      <c r="Y70" s="41">
        <v>7</v>
      </c>
      <c r="Z70" s="41">
        <v>11</v>
      </c>
      <c r="AA70" s="41"/>
      <c r="AB70" s="41"/>
      <c r="AC70" s="41"/>
      <c r="AD70" s="41"/>
      <c r="AE70" s="38" t="s">
        <v>263</v>
      </c>
      <c r="AF70" s="41">
        <v>1</v>
      </c>
      <c r="AG70" s="41">
        <v>5</v>
      </c>
      <c r="AH70" s="41"/>
      <c r="AI70" s="41"/>
      <c r="AJ70" s="41"/>
      <c r="AK70" s="41"/>
      <c r="AL70" s="41" t="b">
        <f t="shared" ref="AL70:AL84" si="7">IF(AF$2=AM$3,AM70,AN70)</f>
        <v>0</v>
      </c>
      <c r="AM70" s="41" t="b">
        <f t="shared" si="5"/>
        <v>0</v>
      </c>
      <c r="AN70" s="41" t="b">
        <f t="shared" si="6"/>
        <v>0</v>
      </c>
    </row>
    <row r="71" spans="1:40" x14ac:dyDescent="0.35">
      <c r="A71" s="76"/>
      <c r="B71" s="37">
        <v>67</v>
      </c>
      <c r="C71" s="38" t="s">
        <v>264</v>
      </c>
      <c r="D71" s="38" t="s">
        <v>289</v>
      </c>
      <c r="E71" s="43">
        <v>600</v>
      </c>
      <c r="F71" s="39">
        <v>0</v>
      </c>
      <c r="G71" s="39">
        <v>0.999305555555556</v>
      </c>
      <c r="H71" s="39"/>
      <c r="I71" s="39"/>
      <c r="J71" s="39"/>
      <c r="K71" s="39"/>
      <c r="L71" s="37" t="s">
        <v>41</v>
      </c>
      <c r="M71" s="40" t="s">
        <v>141</v>
      </c>
      <c r="N71" s="40" t="s">
        <v>141</v>
      </c>
      <c r="O71" s="40" t="s">
        <v>141</v>
      </c>
      <c r="P71" s="40"/>
      <c r="Q71" s="40"/>
      <c r="R71" s="40"/>
      <c r="S71" s="40" t="s">
        <v>143</v>
      </c>
      <c r="T71" s="40" t="s">
        <v>143</v>
      </c>
      <c r="U71" s="40"/>
      <c r="V71" s="40"/>
      <c r="W71" s="40"/>
      <c r="X71" s="40"/>
      <c r="Y71" s="41">
        <v>7</v>
      </c>
      <c r="Z71" s="41">
        <v>8</v>
      </c>
      <c r="AA71" s="41"/>
      <c r="AB71" s="41"/>
      <c r="AC71" s="41"/>
      <c r="AD71" s="41"/>
      <c r="AE71" s="38" t="s">
        <v>265</v>
      </c>
      <c r="AF71" s="41">
        <v>1</v>
      </c>
      <c r="AG71" s="41">
        <v>3</v>
      </c>
      <c r="AH71" s="41"/>
      <c r="AI71" s="41"/>
      <c r="AJ71" s="41"/>
      <c r="AK71" s="41"/>
      <c r="AL71" s="41" t="b">
        <f t="shared" si="7"/>
        <v>0</v>
      </c>
      <c r="AM71" s="41" t="b">
        <f t="shared" si="5"/>
        <v>0</v>
      </c>
      <c r="AN71" s="41" t="b">
        <f t="shared" si="6"/>
        <v>0</v>
      </c>
    </row>
    <row r="72" spans="1:40" x14ac:dyDescent="0.35">
      <c r="A72" s="76"/>
      <c r="B72" s="37">
        <v>68</v>
      </c>
      <c r="C72" s="38" t="s">
        <v>266</v>
      </c>
      <c r="D72" s="38" t="s">
        <v>205</v>
      </c>
      <c r="E72" s="43">
        <v>600</v>
      </c>
      <c r="F72" s="39">
        <v>0</v>
      </c>
      <c r="G72" s="39">
        <v>0.999305555555556</v>
      </c>
      <c r="H72" s="39"/>
      <c r="I72" s="39"/>
      <c r="J72" s="39"/>
      <c r="K72" s="39"/>
      <c r="L72" s="37" t="s">
        <v>41</v>
      </c>
      <c r="M72" s="40" t="s">
        <v>152</v>
      </c>
      <c r="N72" s="40" t="s">
        <v>152</v>
      </c>
      <c r="O72" s="40" t="s">
        <v>152</v>
      </c>
      <c r="P72" s="40" t="s">
        <v>152</v>
      </c>
      <c r="Q72" s="40" t="s">
        <v>152</v>
      </c>
      <c r="R72" s="40" t="s">
        <v>152</v>
      </c>
      <c r="S72" s="40" t="s">
        <v>152</v>
      </c>
      <c r="T72" s="40" t="s">
        <v>152</v>
      </c>
      <c r="U72" s="40" t="s">
        <v>152</v>
      </c>
      <c r="V72" s="40" t="s">
        <v>152</v>
      </c>
      <c r="W72" s="40" t="s">
        <v>152</v>
      </c>
      <c r="X72" s="40" t="s">
        <v>152</v>
      </c>
      <c r="Y72" s="41">
        <v>1</v>
      </c>
      <c r="Z72" s="41">
        <v>12</v>
      </c>
      <c r="AA72" s="41"/>
      <c r="AB72" s="41"/>
      <c r="AC72" s="41"/>
      <c r="AD72" s="41"/>
      <c r="AE72" s="38" t="s">
        <v>44</v>
      </c>
      <c r="AF72" s="41">
        <v>1</v>
      </c>
      <c r="AG72" s="41">
        <v>12</v>
      </c>
      <c r="AH72" s="41"/>
      <c r="AI72" s="41"/>
      <c r="AJ72" s="41"/>
      <c r="AK72" s="41"/>
      <c r="AL72" s="41" t="b">
        <f t="shared" si="7"/>
        <v>1</v>
      </c>
      <c r="AM72" s="41" t="b">
        <f t="shared" si="5"/>
        <v>1</v>
      </c>
      <c r="AN72" s="41" t="b">
        <f t="shared" si="6"/>
        <v>1</v>
      </c>
    </row>
    <row r="73" spans="1:40" x14ac:dyDescent="0.35">
      <c r="A73" s="76"/>
      <c r="B73" s="37">
        <v>69</v>
      </c>
      <c r="C73" s="38" t="s">
        <v>267</v>
      </c>
      <c r="D73" s="38" t="s">
        <v>268</v>
      </c>
      <c r="E73" s="43">
        <v>80</v>
      </c>
      <c r="F73" s="39">
        <v>0</v>
      </c>
      <c r="G73" s="39">
        <v>0.999305555555556</v>
      </c>
      <c r="H73" s="39"/>
      <c r="I73" s="39"/>
      <c r="J73" s="39"/>
      <c r="K73" s="39"/>
      <c r="L73" s="37" t="s">
        <v>41</v>
      </c>
      <c r="M73" s="40" t="s">
        <v>152</v>
      </c>
      <c r="N73" s="40" t="s">
        <v>152</v>
      </c>
      <c r="O73" s="40" t="s">
        <v>152</v>
      </c>
      <c r="P73" s="40" t="s">
        <v>152</v>
      </c>
      <c r="Q73" s="40" t="s">
        <v>152</v>
      </c>
      <c r="R73" s="40" t="s">
        <v>152</v>
      </c>
      <c r="S73" s="40" t="s">
        <v>152</v>
      </c>
      <c r="T73" s="40" t="s">
        <v>152</v>
      </c>
      <c r="U73" s="40" t="s">
        <v>152</v>
      </c>
      <c r="V73" s="40" t="s">
        <v>152</v>
      </c>
      <c r="W73" s="40" t="s">
        <v>152</v>
      </c>
      <c r="X73" s="40" t="s">
        <v>152</v>
      </c>
      <c r="Y73" s="41">
        <v>1</v>
      </c>
      <c r="Z73" s="41">
        <v>12</v>
      </c>
      <c r="AA73" s="41"/>
      <c r="AB73" s="41"/>
      <c r="AC73" s="41"/>
      <c r="AD73" s="41"/>
      <c r="AE73" s="38" t="s">
        <v>44</v>
      </c>
      <c r="AF73" s="41">
        <v>1</v>
      </c>
      <c r="AG73" s="41">
        <v>12</v>
      </c>
      <c r="AH73" s="41"/>
      <c r="AI73" s="41"/>
      <c r="AJ73" s="41"/>
      <c r="AK73" s="41"/>
      <c r="AL73" s="41" t="b">
        <f t="shared" si="7"/>
        <v>1</v>
      </c>
      <c r="AM73" s="41" t="b">
        <f t="shared" si="5"/>
        <v>1</v>
      </c>
      <c r="AN73" s="41" t="b">
        <f t="shared" si="6"/>
        <v>1</v>
      </c>
    </row>
    <row r="74" spans="1:40" x14ac:dyDescent="0.35">
      <c r="A74" s="76"/>
      <c r="B74" s="37">
        <v>70</v>
      </c>
      <c r="C74" s="38" t="s">
        <v>269</v>
      </c>
      <c r="D74" s="38" t="s">
        <v>270</v>
      </c>
      <c r="E74" s="43">
        <v>1000</v>
      </c>
      <c r="F74" s="39">
        <v>0.79166666666666696</v>
      </c>
      <c r="G74" s="39">
        <v>0.999305555555556</v>
      </c>
      <c r="H74" s="39">
        <v>0</v>
      </c>
      <c r="I74" s="39">
        <v>0.33333333333333331</v>
      </c>
      <c r="J74" s="39"/>
      <c r="K74" s="39"/>
      <c r="L74" s="37" t="s">
        <v>227</v>
      </c>
      <c r="M74" s="40" t="s">
        <v>152</v>
      </c>
      <c r="N74" s="40" t="s">
        <v>152</v>
      </c>
      <c r="O74" s="40" t="s">
        <v>152</v>
      </c>
      <c r="P74" s="40" t="s">
        <v>152</v>
      </c>
      <c r="Q74" s="40" t="s">
        <v>152</v>
      </c>
      <c r="R74" s="40" t="s">
        <v>152</v>
      </c>
      <c r="S74" s="40" t="s">
        <v>152</v>
      </c>
      <c r="T74" s="40" t="s">
        <v>152</v>
      </c>
      <c r="U74" s="40" t="s">
        <v>152</v>
      </c>
      <c r="V74" s="40" t="s">
        <v>152</v>
      </c>
      <c r="W74" s="40" t="s">
        <v>152</v>
      </c>
      <c r="X74" s="40" t="s">
        <v>152</v>
      </c>
      <c r="Y74" s="41">
        <v>1</v>
      </c>
      <c r="Z74" s="41">
        <v>12</v>
      </c>
      <c r="AA74" s="41"/>
      <c r="AB74" s="41"/>
      <c r="AC74" s="41"/>
      <c r="AD74" s="41"/>
      <c r="AE74" s="38" t="s">
        <v>44</v>
      </c>
      <c r="AF74" s="41">
        <v>1</v>
      </c>
      <c r="AG74" s="41">
        <v>12</v>
      </c>
      <c r="AH74" s="41"/>
      <c r="AI74" s="41"/>
      <c r="AJ74" s="41"/>
      <c r="AK74" s="41"/>
      <c r="AL74" s="41" t="b">
        <f t="shared" si="7"/>
        <v>0</v>
      </c>
      <c r="AM74" s="41" t="b">
        <f t="shared" si="5"/>
        <v>0</v>
      </c>
      <c r="AN74" s="41" t="b">
        <f t="shared" si="6"/>
        <v>0</v>
      </c>
    </row>
    <row r="75" spans="1:40" x14ac:dyDescent="0.35">
      <c r="A75" s="76"/>
      <c r="B75" s="37">
        <v>71</v>
      </c>
      <c r="C75" s="38" t="s">
        <v>271</v>
      </c>
      <c r="D75" s="38" t="s">
        <v>272</v>
      </c>
      <c r="E75" s="43">
        <v>200</v>
      </c>
      <c r="F75" s="39">
        <v>0</v>
      </c>
      <c r="G75" s="39">
        <v>0.999305555555556</v>
      </c>
      <c r="H75" s="39"/>
      <c r="I75" s="39"/>
      <c r="J75" s="39"/>
      <c r="K75" s="39"/>
      <c r="L75" s="37" t="s">
        <v>41</v>
      </c>
      <c r="M75" s="40" t="s">
        <v>152</v>
      </c>
      <c r="N75" s="40" t="s">
        <v>152</v>
      </c>
      <c r="O75" s="40" t="s">
        <v>152</v>
      </c>
      <c r="P75" s="40" t="s">
        <v>152</v>
      </c>
      <c r="Q75" s="40" t="s">
        <v>152</v>
      </c>
      <c r="R75" s="40" t="s">
        <v>152</v>
      </c>
      <c r="S75" s="40" t="s">
        <v>152</v>
      </c>
      <c r="T75" s="40" t="s">
        <v>152</v>
      </c>
      <c r="U75" s="40" t="s">
        <v>152</v>
      </c>
      <c r="V75" s="40" t="s">
        <v>152</v>
      </c>
      <c r="W75" s="40" t="s">
        <v>152</v>
      </c>
      <c r="X75" s="40" t="s">
        <v>152</v>
      </c>
      <c r="Y75" s="41">
        <v>1</v>
      </c>
      <c r="Z75" s="41">
        <v>12</v>
      </c>
      <c r="AA75" s="41"/>
      <c r="AB75" s="41"/>
      <c r="AC75" s="41"/>
      <c r="AD75" s="41"/>
      <c r="AE75" s="38" t="s">
        <v>44</v>
      </c>
      <c r="AF75" s="41">
        <v>1</v>
      </c>
      <c r="AG75" s="41">
        <v>12</v>
      </c>
      <c r="AH75" s="41"/>
      <c r="AI75" s="41"/>
      <c r="AJ75" s="41"/>
      <c r="AK75" s="41"/>
      <c r="AL75" s="41" t="b">
        <f t="shared" si="7"/>
        <v>1</v>
      </c>
      <c r="AM75" s="41" t="b">
        <f t="shared" si="5"/>
        <v>1</v>
      </c>
      <c r="AN75" s="41" t="b">
        <f t="shared" si="6"/>
        <v>1</v>
      </c>
    </row>
    <row r="76" spans="1:40" x14ac:dyDescent="0.35">
      <c r="A76" s="76"/>
      <c r="B76" s="37">
        <v>72</v>
      </c>
      <c r="C76" s="38" t="s">
        <v>273</v>
      </c>
      <c r="D76" s="38" t="s">
        <v>274</v>
      </c>
      <c r="E76" s="43">
        <v>60</v>
      </c>
      <c r="F76" s="39">
        <v>0</v>
      </c>
      <c r="G76" s="39">
        <v>0.999305555555556</v>
      </c>
      <c r="H76" s="39"/>
      <c r="I76" s="39"/>
      <c r="J76" s="39"/>
      <c r="K76" s="39"/>
      <c r="L76" s="37" t="s">
        <v>41</v>
      </c>
      <c r="M76" s="40" t="s">
        <v>152</v>
      </c>
      <c r="N76" s="40" t="s">
        <v>152</v>
      </c>
      <c r="O76" s="40" t="s">
        <v>152</v>
      </c>
      <c r="P76" s="40" t="s">
        <v>152</v>
      </c>
      <c r="Q76" s="40" t="s">
        <v>152</v>
      </c>
      <c r="R76" s="40" t="s">
        <v>152</v>
      </c>
      <c r="S76" s="40" t="s">
        <v>152</v>
      </c>
      <c r="T76" s="40" t="s">
        <v>152</v>
      </c>
      <c r="U76" s="40" t="s">
        <v>152</v>
      </c>
      <c r="V76" s="40" t="s">
        <v>152</v>
      </c>
      <c r="W76" s="40" t="s">
        <v>152</v>
      </c>
      <c r="X76" s="40" t="s">
        <v>152</v>
      </c>
      <c r="Y76" s="41">
        <v>1</v>
      </c>
      <c r="Z76" s="41">
        <v>12</v>
      </c>
      <c r="AA76" s="41"/>
      <c r="AB76" s="41"/>
      <c r="AC76" s="41"/>
      <c r="AD76" s="41"/>
      <c r="AE76" s="38" t="s">
        <v>44</v>
      </c>
      <c r="AF76" s="41">
        <v>1</v>
      </c>
      <c r="AG76" s="41">
        <v>12</v>
      </c>
      <c r="AH76" s="41"/>
      <c r="AI76" s="41"/>
      <c r="AJ76" s="41"/>
      <c r="AK76" s="41"/>
      <c r="AL76" s="41" t="b">
        <f t="shared" si="7"/>
        <v>1</v>
      </c>
      <c r="AM76" s="41" t="b">
        <f t="shared" si="5"/>
        <v>1</v>
      </c>
      <c r="AN76" s="41" t="b">
        <f t="shared" si="6"/>
        <v>1</v>
      </c>
    </row>
    <row r="77" spans="1:40" x14ac:dyDescent="0.35">
      <c r="A77" s="76"/>
      <c r="B77" s="37">
        <v>73</v>
      </c>
      <c r="C77" s="38" t="s">
        <v>275</v>
      </c>
      <c r="D77" s="38" t="s">
        <v>156</v>
      </c>
      <c r="E77" s="43">
        <v>130</v>
      </c>
      <c r="F77" s="39">
        <v>0.70833333333333337</v>
      </c>
      <c r="G77" s="39">
        <v>0.99930555555555556</v>
      </c>
      <c r="H77" s="39">
        <v>0</v>
      </c>
      <c r="I77" s="39">
        <v>0.16666666666666666</v>
      </c>
      <c r="J77" s="39"/>
      <c r="K77" s="39"/>
      <c r="L77" s="37" t="s">
        <v>276</v>
      </c>
      <c r="M77" s="40" t="s">
        <v>141</v>
      </c>
      <c r="N77" s="40" t="s">
        <v>141</v>
      </c>
      <c r="O77" s="40" t="s">
        <v>141</v>
      </c>
      <c r="P77" s="40"/>
      <c r="Q77" s="40"/>
      <c r="R77" s="40" t="s">
        <v>143</v>
      </c>
      <c r="S77" s="40" t="s">
        <v>143</v>
      </c>
      <c r="T77" s="40" t="s">
        <v>143</v>
      </c>
      <c r="U77" s="40" t="s">
        <v>143</v>
      </c>
      <c r="V77" s="40"/>
      <c r="W77" s="40"/>
      <c r="X77" s="40" t="s">
        <v>141</v>
      </c>
      <c r="Y77" s="41">
        <v>6</v>
      </c>
      <c r="Z77" s="41">
        <v>9</v>
      </c>
      <c r="AA77" s="41"/>
      <c r="AB77" s="41"/>
      <c r="AC77" s="41"/>
      <c r="AD77" s="41"/>
      <c r="AE77" s="38" t="s">
        <v>95</v>
      </c>
      <c r="AF77" s="41">
        <v>12</v>
      </c>
      <c r="AG77" s="41">
        <v>12</v>
      </c>
      <c r="AH77" s="41">
        <v>1</v>
      </c>
      <c r="AI77" s="41">
        <v>3</v>
      </c>
      <c r="AJ77" s="41"/>
      <c r="AK77" s="41"/>
      <c r="AL77" s="41" t="b">
        <f t="shared" si="7"/>
        <v>0</v>
      </c>
      <c r="AM77" s="41" t="b">
        <f t="shared" si="5"/>
        <v>0</v>
      </c>
      <c r="AN77" s="41" t="b">
        <f t="shared" si="6"/>
        <v>0</v>
      </c>
    </row>
    <row r="78" spans="1:40" x14ac:dyDescent="0.35">
      <c r="A78" s="76"/>
      <c r="B78" s="37">
        <v>74</v>
      </c>
      <c r="C78" s="38" t="s">
        <v>277</v>
      </c>
      <c r="D78" s="38" t="s">
        <v>278</v>
      </c>
      <c r="E78" s="43">
        <v>70</v>
      </c>
      <c r="F78" s="39">
        <v>0</v>
      </c>
      <c r="G78" s="39">
        <v>0.999305555555556</v>
      </c>
      <c r="H78" s="39"/>
      <c r="I78" s="39"/>
      <c r="J78" s="39"/>
      <c r="K78" s="39"/>
      <c r="L78" s="37" t="s">
        <v>41</v>
      </c>
      <c r="M78" s="40" t="s">
        <v>141</v>
      </c>
      <c r="N78" s="40" t="s">
        <v>141</v>
      </c>
      <c r="O78" s="40" t="s">
        <v>141</v>
      </c>
      <c r="P78" s="40" t="s">
        <v>143</v>
      </c>
      <c r="Q78" s="40" t="s">
        <v>143</v>
      </c>
      <c r="R78" s="40" t="s">
        <v>143</v>
      </c>
      <c r="S78" s="40" t="s">
        <v>143</v>
      </c>
      <c r="T78" s="40" t="s">
        <v>143</v>
      </c>
      <c r="U78" s="40" t="s">
        <v>143</v>
      </c>
      <c r="V78" s="40" t="s">
        <v>152</v>
      </c>
      <c r="W78" s="40" t="s">
        <v>152</v>
      </c>
      <c r="X78" s="40" t="s">
        <v>141</v>
      </c>
      <c r="Y78" s="41">
        <v>4</v>
      </c>
      <c r="Z78" s="41">
        <v>11</v>
      </c>
      <c r="AA78" s="41"/>
      <c r="AB78" s="41"/>
      <c r="AC78" s="41"/>
      <c r="AD78" s="41"/>
      <c r="AE78" s="38" t="s">
        <v>91</v>
      </c>
      <c r="AF78" s="41">
        <v>10</v>
      </c>
      <c r="AG78" s="41">
        <v>12</v>
      </c>
      <c r="AH78" s="41">
        <v>1</v>
      </c>
      <c r="AI78" s="41">
        <v>5</v>
      </c>
      <c r="AJ78" s="41"/>
      <c r="AK78" s="41"/>
      <c r="AL78" s="41" t="b">
        <f t="shared" si="7"/>
        <v>1</v>
      </c>
      <c r="AM78" s="41" t="b">
        <f t="shared" si="5"/>
        <v>1</v>
      </c>
      <c r="AN78" s="41" t="b">
        <f t="shared" si="6"/>
        <v>1</v>
      </c>
    </row>
    <row r="79" spans="1:40" x14ac:dyDescent="0.35">
      <c r="A79" s="76"/>
      <c r="B79" s="37">
        <v>75</v>
      </c>
      <c r="C79" s="38" t="s">
        <v>279</v>
      </c>
      <c r="D79" s="38" t="s">
        <v>280</v>
      </c>
      <c r="E79" s="43">
        <v>250</v>
      </c>
      <c r="F79" s="39">
        <v>0</v>
      </c>
      <c r="G79" s="39">
        <v>0.999305555555556</v>
      </c>
      <c r="H79" s="39"/>
      <c r="I79" s="39"/>
      <c r="J79" s="39"/>
      <c r="K79" s="39"/>
      <c r="L79" s="37" t="s">
        <v>41</v>
      </c>
      <c r="M79" s="40" t="s">
        <v>152</v>
      </c>
      <c r="N79" s="40" t="s">
        <v>152</v>
      </c>
      <c r="O79" s="40" t="s">
        <v>152</v>
      </c>
      <c r="P79" s="40" t="s">
        <v>152</v>
      </c>
      <c r="Q79" s="40" t="s">
        <v>152</v>
      </c>
      <c r="R79" s="40" t="s">
        <v>152</v>
      </c>
      <c r="S79" s="40" t="s">
        <v>152</v>
      </c>
      <c r="T79" s="40" t="s">
        <v>152</v>
      </c>
      <c r="U79" s="40" t="s">
        <v>152</v>
      </c>
      <c r="V79" s="40" t="s">
        <v>152</v>
      </c>
      <c r="W79" s="40" t="s">
        <v>152</v>
      </c>
      <c r="X79" s="40" t="s">
        <v>152</v>
      </c>
      <c r="Y79" s="41">
        <v>1</v>
      </c>
      <c r="Z79" s="41">
        <v>12</v>
      </c>
      <c r="AA79" s="41"/>
      <c r="AB79" s="41"/>
      <c r="AC79" s="41"/>
      <c r="AD79" s="41"/>
      <c r="AE79" s="38" t="s">
        <v>44</v>
      </c>
      <c r="AF79" s="41">
        <v>1</v>
      </c>
      <c r="AG79" s="41">
        <v>12</v>
      </c>
      <c r="AH79" s="41"/>
      <c r="AI79" s="41"/>
      <c r="AJ79" s="41"/>
      <c r="AK79" s="41"/>
      <c r="AL79" s="41" t="b">
        <f t="shared" si="7"/>
        <v>1</v>
      </c>
      <c r="AM79" s="41" t="b">
        <f t="shared" si="5"/>
        <v>1</v>
      </c>
      <c r="AN79" s="41" t="b">
        <f t="shared" si="6"/>
        <v>1</v>
      </c>
    </row>
    <row r="80" spans="1:40" x14ac:dyDescent="0.35">
      <c r="A80" s="76"/>
      <c r="B80" s="37">
        <v>76</v>
      </c>
      <c r="C80" s="38" t="s">
        <v>281</v>
      </c>
      <c r="D80" s="38" t="s">
        <v>282</v>
      </c>
      <c r="E80" s="43">
        <v>250</v>
      </c>
      <c r="F80" s="39">
        <v>0</v>
      </c>
      <c r="G80" s="39">
        <v>0.66666666666666663</v>
      </c>
      <c r="H80" s="39">
        <v>0.95833333333333337</v>
      </c>
      <c r="I80" s="39">
        <v>0.99930555555555556</v>
      </c>
      <c r="J80" s="39"/>
      <c r="K80" s="39"/>
      <c r="L80" s="37" t="s">
        <v>283</v>
      </c>
      <c r="M80" s="40" t="s">
        <v>143</v>
      </c>
      <c r="N80" s="40" t="s">
        <v>143</v>
      </c>
      <c r="O80" s="40" t="s">
        <v>152</v>
      </c>
      <c r="P80" s="40" t="s">
        <v>152</v>
      </c>
      <c r="Q80" s="40" t="s">
        <v>152</v>
      </c>
      <c r="R80" s="40" t="s">
        <v>152</v>
      </c>
      <c r="S80" s="40" t="s">
        <v>141</v>
      </c>
      <c r="T80" s="40" t="s">
        <v>141</v>
      </c>
      <c r="U80" s="40" t="s">
        <v>152</v>
      </c>
      <c r="V80" s="40" t="s">
        <v>152</v>
      </c>
      <c r="W80" s="40" t="s">
        <v>152</v>
      </c>
      <c r="X80" s="40" t="s">
        <v>152</v>
      </c>
      <c r="Y80" s="41">
        <v>9</v>
      </c>
      <c r="Z80" s="41">
        <v>12</v>
      </c>
      <c r="AA80" s="41">
        <v>1</v>
      </c>
      <c r="AB80" s="41">
        <v>6</v>
      </c>
      <c r="AC80" s="41"/>
      <c r="AD80" s="41"/>
      <c r="AE80" s="38" t="s">
        <v>158</v>
      </c>
      <c r="AF80" s="41">
        <v>3</v>
      </c>
      <c r="AG80" s="41">
        <v>12</v>
      </c>
      <c r="AH80" s="41"/>
      <c r="AI80" s="41"/>
      <c r="AJ80" s="41"/>
      <c r="AK80" s="41"/>
      <c r="AL80" s="41" t="b">
        <f t="shared" si="7"/>
        <v>1</v>
      </c>
      <c r="AM80" s="41" t="b">
        <f t="shared" si="5"/>
        <v>1</v>
      </c>
      <c r="AN80" s="41" t="b">
        <f t="shared" si="6"/>
        <v>1</v>
      </c>
    </row>
    <row r="81" spans="1:40" x14ac:dyDescent="0.35">
      <c r="A81" s="76"/>
      <c r="B81" s="37">
        <v>77</v>
      </c>
      <c r="C81" s="38" t="s">
        <v>284</v>
      </c>
      <c r="D81" s="38" t="s">
        <v>282</v>
      </c>
      <c r="E81" s="43">
        <v>300</v>
      </c>
      <c r="F81" s="39">
        <v>0.66666666666666663</v>
      </c>
      <c r="G81" s="39">
        <v>0.95833333333333337</v>
      </c>
      <c r="H81" s="39"/>
      <c r="I81" s="39"/>
      <c r="J81" s="39"/>
      <c r="K81" s="39"/>
      <c r="L81" s="37" t="s">
        <v>285</v>
      </c>
      <c r="M81" s="40" t="s">
        <v>143</v>
      </c>
      <c r="N81" s="40" t="s">
        <v>143</v>
      </c>
      <c r="O81" s="40" t="s">
        <v>152</v>
      </c>
      <c r="P81" s="40" t="s">
        <v>152</v>
      </c>
      <c r="Q81" s="40" t="s">
        <v>152</v>
      </c>
      <c r="R81" s="40" t="s">
        <v>152</v>
      </c>
      <c r="S81" s="40" t="s">
        <v>141</v>
      </c>
      <c r="T81" s="40" t="s">
        <v>141</v>
      </c>
      <c r="U81" s="40" t="s">
        <v>152</v>
      </c>
      <c r="V81" s="40" t="s">
        <v>152</v>
      </c>
      <c r="W81" s="40" t="s">
        <v>152</v>
      </c>
      <c r="X81" s="40" t="s">
        <v>152</v>
      </c>
      <c r="Y81" s="41">
        <v>9</v>
      </c>
      <c r="Z81" s="41">
        <v>12</v>
      </c>
      <c r="AA81" s="41">
        <v>1</v>
      </c>
      <c r="AB81" s="41">
        <v>6</v>
      </c>
      <c r="AC81" s="41"/>
      <c r="AD81" s="41"/>
      <c r="AE81" s="38" t="s">
        <v>158</v>
      </c>
      <c r="AF81" s="41">
        <v>3</v>
      </c>
      <c r="AG81" s="41">
        <v>12</v>
      </c>
      <c r="AH81" s="41"/>
      <c r="AI81" s="41"/>
      <c r="AJ81" s="41"/>
      <c r="AK81" s="41"/>
      <c r="AL81" s="41" t="b">
        <f>IF(AF$2=AM$3,AM81,AN81)</f>
        <v>0</v>
      </c>
      <c r="AM81" s="41" t="b">
        <f>AND(OR(AND(Y81&lt;=Y$2,Z81&gt;=Y$2), AND(AA81&lt;=Y$2,AB81&gt;=Y$2), AND(AC81&lt;=Y$2,AD81&gt;=Y$2)), OR(AND(F81&lt;=F$2, G81&gt;=F$2),AND(H81&lt;=F$2,I81&gt;=F$2),AND(J81&lt;=F$2,K81&gt;=F$2)))</f>
        <v>0</v>
      </c>
      <c r="AN81" s="41" t="b">
        <f t="shared" si="6"/>
        <v>0</v>
      </c>
    </row>
    <row r="82" spans="1:40" x14ac:dyDescent="0.35">
      <c r="A82" s="76"/>
      <c r="B82" s="37">
        <v>78</v>
      </c>
      <c r="C82" s="38" t="s">
        <v>286</v>
      </c>
      <c r="D82" s="38" t="s">
        <v>205</v>
      </c>
      <c r="E82" s="43">
        <v>480</v>
      </c>
      <c r="F82" s="39">
        <v>0.79166666666666696</v>
      </c>
      <c r="G82" s="39">
        <v>0.999305555555556</v>
      </c>
      <c r="H82" s="39">
        <v>0</v>
      </c>
      <c r="I82" s="39">
        <v>0.33333333333333331</v>
      </c>
      <c r="J82" s="39"/>
      <c r="K82" s="39"/>
      <c r="L82" s="37" t="s">
        <v>227</v>
      </c>
      <c r="M82" s="40" t="s">
        <v>152</v>
      </c>
      <c r="N82" s="40" t="s">
        <v>152</v>
      </c>
      <c r="O82" s="40" t="s">
        <v>152</v>
      </c>
      <c r="P82" s="40" t="s">
        <v>152</v>
      </c>
      <c r="Q82" s="40" t="s">
        <v>152</v>
      </c>
      <c r="R82" s="40" t="s">
        <v>152</v>
      </c>
      <c r="S82" s="40" t="s">
        <v>152</v>
      </c>
      <c r="T82" s="40" t="s">
        <v>152</v>
      </c>
      <c r="U82" s="40" t="s">
        <v>152</v>
      </c>
      <c r="V82" s="40" t="s">
        <v>152</v>
      </c>
      <c r="W82" s="40" t="s">
        <v>152</v>
      </c>
      <c r="X82" s="40" t="s">
        <v>152</v>
      </c>
      <c r="Y82" s="41">
        <v>1</v>
      </c>
      <c r="Z82" s="41">
        <v>12</v>
      </c>
      <c r="AA82" s="41"/>
      <c r="AB82" s="41"/>
      <c r="AC82" s="41"/>
      <c r="AD82" s="41"/>
      <c r="AE82" s="38" t="s">
        <v>44</v>
      </c>
      <c r="AF82" s="41">
        <v>1</v>
      </c>
      <c r="AG82" s="41">
        <v>12</v>
      </c>
      <c r="AH82" s="41"/>
      <c r="AI82" s="41"/>
      <c r="AJ82" s="41"/>
      <c r="AK82" s="41"/>
      <c r="AL82" s="41" t="b">
        <f t="shared" si="7"/>
        <v>0</v>
      </c>
      <c r="AM82" s="41" t="b">
        <f t="shared" si="5"/>
        <v>0</v>
      </c>
      <c r="AN82" s="41" t="b">
        <f t="shared" si="6"/>
        <v>0</v>
      </c>
    </row>
    <row r="83" spans="1:40" x14ac:dyDescent="0.35">
      <c r="A83" s="76"/>
      <c r="B83" s="37">
        <v>79</v>
      </c>
      <c r="C83" s="38" t="s">
        <v>287</v>
      </c>
      <c r="D83" s="38" t="s">
        <v>190</v>
      </c>
      <c r="E83" s="43">
        <v>8000</v>
      </c>
      <c r="F83" s="39">
        <v>0.79166666666666696</v>
      </c>
      <c r="G83" s="39">
        <v>0.999305555555556</v>
      </c>
      <c r="H83" s="39">
        <v>0</v>
      </c>
      <c r="I83" s="39">
        <v>0.16666666666666699</v>
      </c>
      <c r="J83" s="39"/>
      <c r="K83" s="39"/>
      <c r="L83" s="37" t="s">
        <v>185</v>
      </c>
      <c r="M83" s="40" t="s">
        <v>143</v>
      </c>
      <c r="N83" s="40" t="s">
        <v>143</v>
      </c>
      <c r="O83" s="40" t="s">
        <v>143</v>
      </c>
      <c r="P83" s="40"/>
      <c r="Q83" s="40" t="s">
        <v>141</v>
      </c>
      <c r="R83" s="40" t="s">
        <v>141</v>
      </c>
      <c r="S83" s="40" t="s">
        <v>141</v>
      </c>
      <c r="T83" s="40" t="s">
        <v>141</v>
      </c>
      <c r="U83" s="40" t="s">
        <v>141</v>
      </c>
      <c r="V83" s="40" t="s">
        <v>141</v>
      </c>
      <c r="W83" s="40" t="s">
        <v>143</v>
      </c>
      <c r="X83" s="40" t="s">
        <v>143</v>
      </c>
      <c r="Y83" s="41">
        <v>11</v>
      </c>
      <c r="Z83" s="41">
        <v>12</v>
      </c>
      <c r="AA83" s="41">
        <v>1</v>
      </c>
      <c r="AB83" s="41">
        <v>4</v>
      </c>
      <c r="AC83" s="41"/>
      <c r="AD83" s="41"/>
      <c r="AE83" s="38" t="s">
        <v>120</v>
      </c>
      <c r="AF83" s="41">
        <v>5</v>
      </c>
      <c r="AG83" s="41">
        <v>10</v>
      </c>
      <c r="AH83" s="41"/>
      <c r="AI83" s="41"/>
      <c r="AJ83" s="41"/>
      <c r="AK83" s="41"/>
      <c r="AL83" s="41" t="b">
        <f t="shared" si="7"/>
        <v>0</v>
      </c>
      <c r="AM83" s="41" t="b">
        <f t="shared" si="5"/>
        <v>0</v>
      </c>
      <c r="AN83" s="41" t="b">
        <f t="shared" si="6"/>
        <v>0</v>
      </c>
    </row>
    <row r="84" spans="1:40" x14ac:dyDescent="0.35">
      <c r="A84" s="76"/>
      <c r="B84" s="37">
        <v>80</v>
      </c>
      <c r="C84" s="38" t="s">
        <v>288</v>
      </c>
      <c r="D84" s="38" t="s">
        <v>190</v>
      </c>
      <c r="E84" s="43">
        <v>8000</v>
      </c>
      <c r="F84" s="39">
        <v>0.79166666666666696</v>
      </c>
      <c r="G84" s="39">
        <v>0.999305555555556</v>
      </c>
      <c r="H84" s="39">
        <v>0</v>
      </c>
      <c r="I84" s="39">
        <v>0.16666666666666699</v>
      </c>
      <c r="J84" s="39"/>
      <c r="K84" s="39"/>
      <c r="L84" s="37" t="s">
        <v>185</v>
      </c>
      <c r="M84" s="40" t="s">
        <v>141</v>
      </c>
      <c r="N84" s="40" t="s">
        <v>141</v>
      </c>
      <c r="O84" s="40" t="s">
        <v>141</v>
      </c>
      <c r="P84" s="40" t="s">
        <v>141</v>
      </c>
      <c r="Q84" s="40" t="s">
        <v>143</v>
      </c>
      <c r="R84" s="40" t="s">
        <v>143</v>
      </c>
      <c r="S84" s="40" t="s">
        <v>143</v>
      </c>
      <c r="T84" s="40" t="s">
        <v>143</v>
      </c>
      <c r="U84" s="40" t="s">
        <v>143</v>
      </c>
      <c r="V84" s="40" t="s">
        <v>143</v>
      </c>
      <c r="W84" s="40" t="s">
        <v>141</v>
      </c>
      <c r="X84" s="40" t="s">
        <v>141</v>
      </c>
      <c r="Y84" s="41">
        <v>5</v>
      </c>
      <c r="Z84" s="41">
        <v>10</v>
      </c>
      <c r="AA84" s="41"/>
      <c r="AB84" s="41"/>
      <c r="AC84" s="41"/>
      <c r="AD84" s="41"/>
      <c r="AE84" s="38" t="s">
        <v>66</v>
      </c>
      <c r="AF84" s="41">
        <v>11</v>
      </c>
      <c r="AG84" s="41">
        <v>12</v>
      </c>
      <c r="AH84" s="41">
        <v>1</v>
      </c>
      <c r="AI84" s="41">
        <v>4</v>
      </c>
      <c r="AJ84" s="41"/>
      <c r="AK84" s="41"/>
      <c r="AL84" s="41" t="b">
        <f t="shared" si="7"/>
        <v>0</v>
      </c>
      <c r="AM84" s="41" t="b">
        <f t="shared" si="5"/>
        <v>0</v>
      </c>
      <c r="AN84" s="41" t="b">
        <f t="shared" si="6"/>
        <v>0</v>
      </c>
    </row>
  </sheetData>
  <autoFilter ref="A4:AN84" xr:uid="{7A7090B3-C075-48B1-B652-55631499EEC2}">
    <sortState xmlns:xlrd2="http://schemas.microsoft.com/office/spreadsheetml/2017/richdata2" ref="A5:AN84">
      <sortCondition ref="B4:B84"/>
    </sortState>
  </autoFilter>
  <mergeCells count="5">
    <mergeCell ref="AF2:AK2"/>
    <mergeCell ref="C1:C2"/>
    <mergeCell ref="F2:K2"/>
    <mergeCell ref="Y2:AD2"/>
    <mergeCell ref="M1:X2"/>
  </mergeCells>
  <conditionalFormatting sqref="M5:AD84">
    <cfRule type="cellIs" dxfId="19" priority="12" operator="equal">
      <formula>"B"</formula>
    </cfRule>
    <cfRule type="cellIs" dxfId="18" priority="13" operator="equal">
      <formula>"S"</formula>
    </cfRule>
    <cfRule type="cellIs" dxfId="15" priority="14" operator="equal">
      <formula>"N"</formula>
    </cfRule>
  </conditionalFormatting>
  <conditionalFormatting sqref="A5:AN84">
    <cfRule type="expression" dxfId="17" priority="32">
      <formula>$A5&lt;&gt;""</formula>
    </cfRule>
    <cfRule type="expression" dxfId="16" priority="33">
      <formula>$AL5=TRUE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Update_Time">
                <anchor moveWithCells="1" sizeWithCells="1">
                  <from>
                    <xdr:col>4</xdr:col>
                    <xdr:colOff>180975</xdr:colOff>
                    <xdr:row>0</xdr:row>
                    <xdr:rowOff>76200</xdr:rowOff>
                  </from>
                  <to>
                    <xdr:col>11</xdr:col>
                    <xdr:colOff>1123950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7B5FC-8BE3-4F52-8EC6-2C8BBE236B7E}">
  <sheetPr codeName="Sheet4"/>
  <dimension ref="A1:AR84"/>
  <sheetViews>
    <sheetView zoomScaleNormal="100" workbookViewId="0">
      <pane ySplit="4" topLeftCell="A5" activePane="bottomLeft" state="frozen"/>
      <selection pane="bottomLeft"/>
    </sheetView>
  </sheetViews>
  <sheetFormatPr defaultRowHeight="18" x14ac:dyDescent="0.35"/>
  <cols>
    <col min="1" max="1" width="5.42578125" style="77" customWidth="1"/>
    <col min="2" max="2" width="4.5703125" style="3" customWidth="1"/>
    <col min="3" max="3" width="23" style="2" bestFit="1" customWidth="1"/>
    <col min="4" max="4" width="18" style="2" bestFit="1" customWidth="1"/>
    <col min="5" max="5" width="13.7109375" style="2" customWidth="1"/>
    <col min="6" max="6" width="10.7109375" style="3" bestFit="1" customWidth="1"/>
    <col min="7" max="10" width="6.140625" style="4" hidden="1" customWidth="1"/>
    <col min="11" max="12" width="5" style="4" hidden="1" customWidth="1"/>
    <col min="13" max="13" width="30.85546875" style="3" bestFit="1" customWidth="1"/>
    <col min="14" max="25" width="4.140625" style="5" customWidth="1"/>
    <col min="26" max="31" width="3.28515625" style="6" hidden="1" customWidth="1"/>
    <col min="32" max="32" width="99" style="2" hidden="1" customWidth="1"/>
    <col min="33" max="38" width="3.28515625" style="6" hidden="1" customWidth="1"/>
    <col min="39" max="39" width="10" style="6" hidden="1" customWidth="1"/>
    <col min="40" max="40" width="8.28515625" style="6" hidden="1" customWidth="1"/>
    <col min="41" max="41" width="10" style="6" hidden="1" customWidth="1"/>
    <col min="42" max="42" width="2.85546875" style="2" customWidth="1"/>
    <col min="43" max="43" width="4.42578125" style="2" bestFit="1" customWidth="1"/>
    <col min="44" max="44" width="32.42578125" style="2" bestFit="1" customWidth="1"/>
    <col min="45" max="16384" width="9.140625" style="2"/>
  </cols>
  <sheetData>
    <row r="1" spans="1:44" ht="18" customHeight="1" thickTop="1" x14ac:dyDescent="0.35">
      <c r="A1" s="74"/>
      <c r="B1" s="10"/>
      <c r="C1" s="130" t="str">
        <f>CONCATENATE("Hemisphere: ", Welcome!D7)</f>
        <v>Hemisphere: North</v>
      </c>
      <c r="D1" s="130"/>
      <c r="E1" s="137" t="str">
        <f>Welcome!H18</f>
        <v>November</v>
      </c>
      <c r="F1" s="137"/>
      <c r="G1" s="11"/>
      <c r="H1" s="11"/>
      <c r="I1" s="11"/>
      <c r="J1" s="11"/>
      <c r="K1" s="11"/>
      <c r="L1" s="11"/>
      <c r="M1" s="10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8"/>
      <c r="AA1" s="8"/>
      <c r="AB1" s="8"/>
      <c r="AC1" s="8"/>
      <c r="AD1" s="8"/>
      <c r="AE1" s="8"/>
      <c r="AF1" s="7"/>
      <c r="AG1" s="8"/>
      <c r="AH1" s="8"/>
      <c r="AI1" s="8"/>
      <c r="AJ1" s="8"/>
      <c r="AK1" s="8"/>
      <c r="AL1" s="8"/>
      <c r="AM1" s="8"/>
      <c r="AN1" s="8"/>
      <c r="AO1" s="8"/>
      <c r="AQ1" s="139"/>
      <c r="AR1" s="140" t="s">
        <v>459</v>
      </c>
    </row>
    <row r="2" spans="1:44" ht="18" customHeight="1" x14ac:dyDescent="0.35">
      <c r="A2" s="75"/>
      <c r="B2" s="10"/>
      <c r="C2" s="131"/>
      <c r="D2" s="131"/>
      <c r="E2" s="129" t="str">
        <f>Welcome!H19</f>
        <v>1:00pm - 2:00pm</v>
      </c>
      <c r="F2" s="129"/>
      <c r="G2" s="132">
        <f>Welcome!I19</f>
        <v>0.5625</v>
      </c>
      <c r="H2" s="132"/>
      <c r="I2" s="132"/>
      <c r="J2" s="132"/>
      <c r="K2" s="132"/>
      <c r="L2" s="132"/>
      <c r="M2" s="10"/>
      <c r="N2" s="136" t="s">
        <v>295</v>
      </c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3">
        <f>Welcome!I18</f>
        <v>11</v>
      </c>
      <c r="AA2" s="133"/>
      <c r="AB2" s="133"/>
      <c r="AC2" s="133"/>
      <c r="AD2" s="133"/>
      <c r="AE2" s="133"/>
      <c r="AF2" s="7"/>
      <c r="AG2" s="133" t="str">
        <f>Welcome!D7</f>
        <v>North</v>
      </c>
      <c r="AH2" s="133"/>
      <c r="AI2" s="133"/>
      <c r="AJ2" s="133"/>
      <c r="AK2" s="133"/>
      <c r="AL2" s="133"/>
      <c r="AM2" s="69"/>
      <c r="AN2" s="69"/>
      <c r="AO2" s="69"/>
      <c r="AQ2" s="141"/>
      <c r="AR2" s="142" t="s">
        <v>460</v>
      </c>
    </row>
    <row r="3" spans="1:44" s="18" customFormat="1" ht="18" customHeight="1" x14ac:dyDescent="0.35">
      <c r="A3" s="79"/>
      <c r="B3" s="19" t="s">
        <v>145</v>
      </c>
      <c r="C3" s="19" t="s">
        <v>146</v>
      </c>
      <c r="D3" s="19" t="s">
        <v>147</v>
      </c>
      <c r="E3" s="19" t="s">
        <v>148</v>
      </c>
      <c r="F3" s="19" t="s">
        <v>149</v>
      </c>
      <c r="G3" s="20"/>
      <c r="H3" s="20"/>
      <c r="I3" s="20"/>
      <c r="J3" s="20"/>
      <c r="K3" s="20"/>
      <c r="L3" s="20"/>
      <c r="M3" s="19" t="s">
        <v>150</v>
      </c>
      <c r="N3" s="21" t="s">
        <v>137</v>
      </c>
      <c r="O3" s="21" t="s">
        <v>138</v>
      </c>
      <c r="P3" s="21" t="s">
        <v>139</v>
      </c>
      <c r="Q3" s="21" t="s">
        <v>140</v>
      </c>
      <c r="R3" s="21" t="s">
        <v>139</v>
      </c>
      <c r="S3" s="21" t="s">
        <v>137</v>
      </c>
      <c r="T3" s="21" t="s">
        <v>137</v>
      </c>
      <c r="U3" s="21" t="s">
        <v>140</v>
      </c>
      <c r="V3" s="21" t="s">
        <v>141</v>
      </c>
      <c r="W3" s="21" t="s">
        <v>142</v>
      </c>
      <c r="X3" s="21" t="s">
        <v>143</v>
      </c>
      <c r="Y3" s="21" t="s">
        <v>144</v>
      </c>
      <c r="Z3" s="19"/>
      <c r="AA3" s="19"/>
      <c r="AB3" s="19"/>
      <c r="AC3" s="19"/>
      <c r="AD3" s="19"/>
      <c r="AE3" s="19"/>
      <c r="AF3" s="19" t="s">
        <v>151</v>
      </c>
      <c r="AG3" s="19"/>
      <c r="AH3" s="19"/>
      <c r="AI3" s="19"/>
      <c r="AJ3" s="19"/>
      <c r="AK3" s="19"/>
      <c r="AL3" s="19"/>
      <c r="AM3" s="19"/>
      <c r="AN3" s="19" t="s">
        <v>290</v>
      </c>
      <c r="AO3" s="19" t="s">
        <v>397</v>
      </c>
      <c r="AQ3" s="143"/>
      <c r="AR3" s="144" t="s">
        <v>294</v>
      </c>
    </row>
    <row r="4" spans="1:44" s="28" customFormat="1" ht="18" customHeight="1" thickBot="1" x14ac:dyDescent="0.4">
      <c r="A4" s="80" t="s">
        <v>153</v>
      </c>
      <c r="B4" s="29" t="s">
        <v>145</v>
      </c>
      <c r="C4" s="29" t="s">
        <v>146</v>
      </c>
      <c r="D4" s="29" t="s">
        <v>147</v>
      </c>
      <c r="E4" s="29" t="s">
        <v>148</v>
      </c>
      <c r="F4" s="29" t="s">
        <v>149</v>
      </c>
      <c r="G4" s="30"/>
      <c r="H4" s="30"/>
      <c r="I4" s="30"/>
      <c r="J4" s="30"/>
      <c r="K4" s="30"/>
      <c r="L4" s="30"/>
      <c r="M4" s="29" t="s">
        <v>150</v>
      </c>
      <c r="N4" s="29" t="s">
        <v>137</v>
      </c>
      <c r="O4" s="29" t="s">
        <v>138</v>
      </c>
      <c r="P4" s="29" t="s">
        <v>139</v>
      </c>
      <c r="Q4" s="29" t="s">
        <v>140</v>
      </c>
      <c r="R4" s="29" t="s">
        <v>139</v>
      </c>
      <c r="S4" s="29" t="s">
        <v>137</v>
      </c>
      <c r="T4" s="29" t="s">
        <v>137</v>
      </c>
      <c r="U4" s="29" t="s">
        <v>140</v>
      </c>
      <c r="V4" s="29" t="s">
        <v>141</v>
      </c>
      <c r="W4" s="29" t="s">
        <v>142</v>
      </c>
      <c r="X4" s="29" t="s">
        <v>143</v>
      </c>
      <c r="Y4" s="29" t="s">
        <v>144</v>
      </c>
      <c r="Z4" s="27"/>
      <c r="AA4" s="27"/>
      <c r="AB4" s="27"/>
      <c r="AC4" s="27"/>
      <c r="AD4" s="27"/>
      <c r="AE4" s="27"/>
      <c r="AF4" s="27" t="s">
        <v>151</v>
      </c>
      <c r="AG4" s="27"/>
      <c r="AH4" s="27"/>
      <c r="AI4" s="27"/>
      <c r="AJ4" s="27"/>
      <c r="AK4" s="27"/>
      <c r="AL4" s="27"/>
      <c r="AM4" s="93"/>
      <c r="AN4" s="93"/>
      <c r="AO4" s="93"/>
      <c r="AQ4" s="145" t="s">
        <v>438</v>
      </c>
      <c r="AR4" s="146" t="s">
        <v>452</v>
      </c>
    </row>
    <row r="5" spans="1:44" ht="18.75" thickTop="1" x14ac:dyDescent="0.35">
      <c r="A5" s="81"/>
      <c r="B5" s="22">
        <v>1</v>
      </c>
      <c r="C5" s="23" t="s">
        <v>38</v>
      </c>
      <c r="D5" s="23" t="s">
        <v>39</v>
      </c>
      <c r="E5" s="23" t="s">
        <v>40</v>
      </c>
      <c r="F5" s="22">
        <v>300</v>
      </c>
      <c r="G5" s="24">
        <v>0</v>
      </c>
      <c r="H5" s="24">
        <v>0.99930555555555556</v>
      </c>
      <c r="I5" s="24"/>
      <c r="J5" s="24"/>
      <c r="K5" s="24"/>
      <c r="L5" s="24"/>
      <c r="M5" s="22" t="s">
        <v>41</v>
      </c>
      <c r="N5" s="25" t="s">
        <v>141</v>
      </c>
      <c r="O5" s="25" t="s">
        <v>141</v>
      </c>
      <c r="P5" s="25"/>
      <c r="Q5" s="25" t="s">
        <v>143</v>
      </c>
      <c r="R5" s="25" t="s">
        <v>143</v>
      </c>
      <c r="S5" s="25" t="s">
        <v>143</v>
      </c>
      <c r="T5" s="25" t="s">
        <v>143</v>
      </c>
      <c r="U5" s="25" t="s">
        <v>143</v>
      </c>
      <c r="V5" s="25"/>
      <c r="W5" s="25" t="s">
        <v>141</v>
      </c>
      <c r="X5" s="25" t="s">
        <v>141</v>
      </c>
      <c r="Y5" s="25" t="s">
        <v>141</v>
      </c>
      <c r="Z5" s="42">
        <v>4</v>
      </c>
      <c r="AA5" s="42">
        <v>8</v>
      </c>
      <c r="AB5" s="42"/>
      <c r="AC5" s="42"/>
      <c r="AD5" s="42"/>
      <c r="AE5" s="42"/>
      <c r="AF5" s="23" t="s">
        <v>53</v>
      </c>
      <c r="AG5" s="42">
        <v>10</v>
      </c>
      <c r="AH5" s="42">
        <v>12</v>
      </c>
      <c r="AI5" s="42">
        <v>1</v>
      </c>
      <c r="AJ5" s="42">
        <v>2</v>
      </c>
      <c r="AK5" s="42"/>
      <c r="AL5" s="42"/>
      <c r="AM5" s="42" t="b">
        <f>IF(AG$2=AN$3,AN5,AO5)</f>
        <v>0</v>
      </c>
      <c r="AN5" s="42" t="b">
        <f t="shared" ref="AN5:AN19" si="0">AND(OR(AND(Z5&lt;=Z$2,AA5&gt;=Z$2), AND(AB5&lt;=Z$2,AC5&gt;=Z$2), AND(AD5&lt;=Z$2,AE5&gt;=Z$2)), OR(AND(G5&lt;=G$2, H5&gt;=G$2),AND(I5&lt;=G$2,J5&gt;=G$2),AND(K5&lt;=G$2,L5&gt;=G$2)))</f>
        <v>0</v>
      </c>
      <c r="AO5" s="42" t="b">
        <f t="shared" ref="AO5:AO19" si="1">AND(OR(AND(AG5&lt;=Z$2,AH5&gt;=Z$2), AND(AI5&lt;=Z$2,AJ5&gt;=Z$2), AND(AK5&lt;=Z$2,AL5&gt;=Z$2)), OR(AND(G5&lt;=G$2, H5&gt;=G$2),AND(I5&lt;=G$2,J5&gt;=G$2),AND(K5&lt;=G$2,L5&gt;=G$2)))</f>
        <v>1</v>
      </c>
    </row>
    <row r="6" spans="1:44" x14ac:dyDescent="0.35">
      <c r="A6" s="81"/>
      <c r="B6" s="22">
        <v>2</v>
      </c>
      <c r="C6" s="23" t="s">
        <v>0</v>
      </c>
      <c r="D6" s="23" t="s">
        <v>39</v>
      </c>
      <c r="E6" s="23" t="s">
        <v>40</v>
      </c>
      <c r="F6" s="26">
        <v>1300</v>
      </c>
      <c r="G6" s="24">
        <v>0.375</v>
      </c>
      <c r="H6" s="24">
        <v>0.66666666666666663</v>
      </c>
      <c r="I6" s="24"/>
      <c r="J6" s="24"/>
      <c r="K6" s="24"/>
      <c r="L6" s="24"/>
      <c r="M6" s="22" t="s">
        <v>43</v>
      </c>
      <c r="N6" s="25" t="s">
        <v>141</v>
      </c>
      <c r="O6" s="25" t="s">
        <v>141</v>
      </c>
      <c r="P6" s="25" t="s">
        <v>141</v>
      </c>
      <c r="Q6" s="25" t="s">
        <v>152</v>
      </c>
      <c r="R6" s="25" t="s">
        <v>152</v>
      </c>
      <c r="S6" s="25" t="s">
        <v>143</v>
      </c>
      <c r="T6" s="25" t="s">
        <v>143</v>
      </c>
      <c r="U6" s="25" t="s">
        <v>143</v>
      </c>
      <c r="V6" s="25" t="s">
        <v>143</v>
      </c>
      <c r="W6" s="25" t="s">
        <v>152</v>
      </c>
      <c r="X6" s="25" t="s">
        <v>152</v>
      </c>
      <c r="Y6" s="25" t="s">
        <v>141</v>
      </c>
      <c r="Z6" s="42">
        <v>4</v>
      </c>
      <c r="AA6" s="42">
        <v>11</v>
      </c>
      <c r="AB6" s="42"/>
      <c r="AC6" s="42"/>
      <c r="AD6" s="42"/>
      <c r="AE6" s="42"/>
      <c r="AF6" s="23" t="s">
        <v>91</v>
      </c>
      <c r="AG6" s="42">
        <v>10</v>
      </c>
      <c r="AH6" s="42">
        <v>12</v>
      </c>
      <c r="AI6" s="42">
        <v>1</v>
      </c>
      <c r="AJ6" s="42">
        <v>5</v>
      </c>
      <c r="AK6" s="42"/>
      <c r="AL6" s="42"/>
      <c r="AM6" s="42" t="b">
        <f t="shared" ref="AM6:AM69" si="2">IF(AG$2=AN$3,AN6,AO6)</f>
        <v>1</v>
      </c>
      <c r="AN6" s="42" t="b">
        <f t="shared" si="0"/>
        <v>1</v>
      </c>
      <c r="AO6" s="42" t="b">
        <f t="shared" si="1"/>
        <v>1</v>
      </c>
    </row>
    <row r="7" spans="1:44" x14ac:dyDescent="0.35">
      <c r="A7" s="81">
        <v>4</v>
      </c>
      <c r="B7" s="22">
        <v>3</v>
      </c>
      <c r="C7" s="23" t="s">
        <v>1</v>
      </c>
      <c r="D7" s="23" t="s">
        <v>39</v>
      </c>
      <c r="E7" s="23" t="s">
        <v>40</v>
      </c>
      <c r="F7" s="44">
        <v>500</v>
      </c>
      <c r="G7" s="24">
        <v>0.375</v>
      </c>
      <c r="H7" s="24">
        <v>0.66666666666666663</v>
      </c>
      <c r="I7" s="24"/>
      <c r="J7" s="24"/>
      <c r="K7" s="24"/>
      <c r="L7" s="24"/>
      <c r="M7" s="22" t="s">
        <v>43</v>
      </c>
      <c r="N7" s="25" t="s">
        <v>141</v>
      </c>
      <c r="O7" s="25" t="s">
        <v>141</v>
      </c>
      <c r="P7" s="25" t="s">
        <v>141</v>
      </c>
      <c r="Q7" s="25" t="s">
        <v>152</v>
      </c>
      <c r="R7" s="25" t="s">
        <v>152</v>
      </c>
      <c r="S7" s="25" t="s">
        <v>143</v>
      </c>
      <c r="T7" s="25" t="s">
        <v>143</v>
      </c>
      <c r="U7" s="25" t="s">
        <v>143</v>
      </c>
      <c r="V7" s="25" t="s">
        <v>143</v>
      </c>
      <c r="W7" s="25" t="s">
        <v>152</v>
      </c>
      <c r="X7" s="25" t="s">
        <v>152</v>
      </c>
      <c r="Y7" s="25" t="s">
        <v>141</v>
      </c>
      <c r="Z7" s="42">
        <v>4</v>
      </c>
      <c r="AA7" s="42">
        <v>11</v>
      </c>
      <c r="AB7" s="42"/>
      <c r="AC7" s="42"/>
      <c r="AD7" s="42"/>
      <c r="AE7" s="42"/>
      <c r="AF7" s="23" t="s">
        <v>91</v>
      </c>
      <c r="AG7" s="42">
        <v>10</v>
      </c>
      <c r="AH7" s="42">
        <v>12</v>
      </c>
      <c r="AI7" s="42">
        <v>1</v>
      </c>
      <c r="AJ7" s="42">
        <v>5</v>
      </c>
      <c r="AK7" s="42"/>
      <c r="AL7" s="42"/>
      <c r="AM7" s="42" t="b">
        <f t="shared" si="2"/>
        <v>1</v>
      </c>
      <c r="AN7" s="42" t="b">
        <f t="shared" si="0"/>
        <v>1</v>
      </c>
      <c r="AO7" s="42" t="b">
        <f t="shared" si="1"/>
        <v>1</v>
      </c>
    </row>
    <row r="8" spans="1:44" x14ac:dyDescent="0.35">
      <c r="A8" s="81" t="s">
        <v>350</v>
      </c>
      <c r="B8" s="22">
        <v>4</v>
      </c>
      <c r="C8" s="23" t="s">
        <v>2</v>
      </c>
      <c r="D8" s="23" t="s">
        <v>39</v>
      </c>
      <c r="E8" s="23" t="s">
        <v>40</v>
      </c>
      <c r="F8" s="44">
        <v>1100</v>
      </c>
      <c r="G8" s="24">
        <v>0</v>
      </c>
      <c r="H8" s="24">
        <v>0.99930555555555556</v>
      </c>
      <c r="I8" s="24"/>
      <c r="J8" s="24"/>
      <c r="K8" s="24"/>
      <c r="L8" s="24"/>
      <c r="M8" s="22" t="s">
        <v>41</v>
      </c>
      <c r="N8" s="25" t="s">
        <v>141</v>
      </c>
      <c r="O8" s="25" t="s">
        <v>141</v>
      </c>
      <c r="P8" s="25" t="s">
        <v>141</v>
      </c>
      <c r="Q8" s="25" t="s">
        <v>152</v>
      </c>
      <c r="R8" s="25" t="s">
        <v>152</v>
      </c>
      <c r="S8" s="25" t="s">
        <v>143</v>
      </c>
      <c r="T8" s="25" t="s">
        <v>143</v>
      </c>
      <c r="U8" s="25" t="s">
        <v>143</v>
      </c>
      <c r="V8" s="25" t="s">
        <v>143</v>
      </c>
      <c r="W8" s="25" t="s">
        <v>152</v>
      </c>
      <c r="X8" s="25" t="s">
        <v>152</v>
      </c>
      <c r="Y8" s="25" t="s">
        <v>141</v>
      </c>
      <c r="Z8" s="42">
        <v>4</v>
      </c>
      <c r="AA8" s="42">
        <v>11</v>
      </c>
      <c r="AB8" s="42"/>
      <c r="AC8" s="42"/>
      <c r="AD8" s="42"/>
      <c r="AE8" s="42"/>
      <c r="AF8" s="23" t="s">
        <v>91</v>
      </c>
      <c r="AG8" s="42">
        <v>10</v>
      </c>
      <c r="AH8" s="42">
        <v>12</v>
      </c>
      <c r="AI8" s="42">
        <v>1</v>
      </c>
      <c r="AJ8" s="42">
        <v>5</v>
      </c>
      <c r="AK8" s="42"/>
      <c r="AL8" s="42"/>
      <c r="AM8" s="42" t="b">
        <f t="shared" si="2"/>
        <v>1</v>
      </c>
      <c r="AN8" s="42" t="b">
        <f t="shared" si="0"/>
        <v>1</v>
      </c>
      <c r="AO8" s="42" t="b">
        <f t="shared" si="1"/>
        <v>1</v>
      </c>
    </row>
    <row r="9" spans="1:44" x14ac:dyDescent="0.35">
      <c r="A9" s="81" t="s">
        <v>438</v>
      </c>
      <c r="B9" s="22">
        <v>5</v>
      </c>
      <c r="C9" s="23" t="s">
        <v>3</v>
      </c>
      <c r="D9" s="23" t="s">
        <v>48</v>
      </c>
      <c r="E9" s="23" t="s">
        <v>46</v>
      </c>
      <c r="F9" s="44">
        <v>500</v>
      </c>
      <c r="G9" s="24">
        <v>0</v>
      </c>
      <c r="H9" s="24">
        <v>0.999305555555556</v>
      </c>
      <c r="I9" s="24"/>
      <c r="J9" s="24"/>
      <c r="K9" s="24"/>
      <c r="L9" s="24"/>
      <c r="M9" s="22" t="s">
        <v>41</v>
      </c>
      <c r="N9" s="25" t="s">
        <v>141</v>
      </c>
      <c r="O9" s="25" t="s">
        <v>141</v>
      </c>
      <c r="P9" s="25" t="s">
        <v>141</v>
      </c>
      <c r="Q9" s="25" t="s">
        <v>152</v>
      </c>
      <c r="R9" s="25" t="s">
        <v>152</v>
      </c>
      <c r="S9" s="25" t="s">
        <v>143</v>
      </c>
      <c r="T9" s="25" t="s">
        <v>143</v>
      </c>
      <c r="U9" s="25" t="s">
        <v>143</v>
      </c>
      <c r="V9" s="25" t="s">
        <v>143</v>
      </c>
      <c r="W9" s="25" t="s">
        <v>152</v>
      </c>
      <c r="X9" s="25" t="s">
        <v>152</v>
      </c>
      <c r="Y9" s="25" t="s">
        <v>141</v>
      </c>
      <c r="Z9" s="42">
        <v>4</v>
      </c>
      <c r="AA9" s="42">
        <v>11</v>
      </c>
      <c r="AB9" s="42"/>
      <c r="AC9" s="42"/>
      <c r="AD9" s="42"/>
      <c r="AE9" s="42"/>
      <c r="AF9" s="23" t="s">
        <v>91</v>
      </c>
      <c r="AG9" s="42">
        <v>10</v>
      </c>
      <c r="AH9" s="42">
        <v>12</v>
      </c>
      <c r="AI9" s="42">
        <v>1</v>
      </c>
      <c r="AJ9" s="42">
        <v>5</v>
      </c>
      <c r="AK9" s="42"/>
      <c r="AL9" s="42"/>
      <c r="AM9" s="42" t="b">
        <f t="shared" si="2"/>
        <v>1</v>
      </c>
      <c r="AN9" s="42" t="b">
        <f t="shared" si="0"/>
        <v>1</v>
      </c>
      <c r="AO9" s="42" t="b">
        <f t="shared" si="1"/>
        <v>1</v>
      </c>
    </row>
    <row r="10" spans="1:44" x14ac:dyDescent="0.35">
      <c r="A10" s="81"/>
      <c r="B10" s="22">
        <v>6</v>
      </c>
      <c r="C10" s="23" t="s">
        <v>50</v>
      </c>
      <c r="D10" s="23" t="s">
        <v>48</v>
      </c>
      <c r="E10" s="23" t="s">
        <v>58</v>
      </c>
      <c r="F10" s="26">
        <v>5000</v>
      </c>
      <c r="G10" s="24">
        <v>0.875</v>
      </c>
      <c r="H10" s="24">
        <v>0.99930555555555556</v>
      </c>
      <c r="I10" s="24">
        <v>0</v>
      </c>
      <c r="J10" s="24">
        <v>0.16666666666666666</v>
      </c>
      <c r="K10" s="24"/>
      <c r="L10" s="24"/>
      <c r="M10" s="22" t="s">
        <v>59</v>
      </c>
      <c r="N10" s="25" t="s">
        <v>141</v>
      </c>
      <c r="O10" s="25" t="s">
        <v>141</v>
      </c>
      <c r="P10" s="25" t="s">
        <v>141</v>
      </c>
      <c r="Q10" s="25" t="s">
        <v>152</v>
      </c>
      <c r="R10" s="25" t="s">
        <v>143</v>
      </c>
      <c r="S10" s="25" t="s">
        <v>143</v>
      </c>
      <c r="T10" s="25" t="s">
        <v>143</v>
      </c>
      <c r="U10" s="25" t="s">
        <v>143</v>
      </c>
      <c r="V10" s="25" t="s">
        <v>143</v>
      </c>
      <c r="W10" s="25" t="s">
        <v>152</v>
      </c>
      <c r="X10" s="25" t="s">
        <v>141</v>
      </c>
      <c r="Y10" s="25" t="s">
        <v>141</v>
      </c>
      <c r="Z10" s="42">
        <v>4</v>
      </c>
      <c r="AA10" s="42">
        <v>10</v>
      </c>
      <c r="AB10" s="42"/>
      <c r="AC10" s="42"/>
      <c r="AD10" s="42"/>
      <c r="AE10" s="42"/>
      <c r="AF10" s="23" t="s">
        <v>60</v>
      </c>
      <c r="AG10" s="42">
        <v>10</v>
      </c>
      <c r="AH10" s="42">
        <v>12</v>
      </c>
      <c r="AI10" s="42">
        <v>1</v>
      </c>
      <c r="AJ10" s="42">
        <v>4</v>
      </c>
      <c r="AK10" s="42"/>
      <c r="AL10" s="42"/>
      <c r="AM10" s="42" t="b">
        <f t="shared" si="2"/>
        <v>0</v>
      </c>
      <c r="AN10" s="42" t="b">
        <f t="shared" si="0"/>
        <v>0</v>
      </c>
      <c r="AO10" s="42" t="b">
        <f t="shared" si="1"/>
        <v>0</v>
      </c>
    </row>
    <row r="11" spans="1:44" x14ac:dyDescent="0.35">
      <c r="A11" s="81"/>
      <c r="B11" s="22">
        <v>7</v>
      </c>
      <c r="C11" s="23" t="s">
        <v>4</v>
      </c>
      <c r="D11" s="23" t="s">
        <v>48</v>
      </c>
      <c r="E11" s="23" t="s">
        <v>45</v>
      </c>
      <c r="F11" s="22">
        <v>200</v>
      </c>
      <c r="G11" s="24">
        <v>0</v>
      </c>
      <c r="H11" s="24">
        <v>0.999305555555556</v>
      </c>
      <c r="I11" s="24"/>
      <c r="J11" s="24"/>
      <c r="K11" s="24"/>
      <c r="L11" s="24"/>
      <c r="M11" s="22" t="s">
        <v>41</v>
      </c>
      <c r="N11" s="25" t="s">
        <v>141</v>
      </c>
      <c r="O11" s="25" t="s">
        <v>141</v>
      </c>
      <c r="P11" s="25" t="s">
        <v>141</v>
      </c>
      <c r="Q11" s="25" t="s">
        <v>143</v>
      </c>
      <c r="R11" s="25" t="s">
        <v>143</v>
      </c>
      <c r="S11" s="25" t="s">
        <v>143</v>
      </c>
      <c r="T11" s="25" t="s">
        <v>143</v>
      </c>
      <c r="U11" s="25" t="s">
        <v>143</v>
      </c>
      <c r="V11" s="25" t="s">
        <v>143</v>
      </c>
      <c r="W11" s="25" t="s">
        <v>141</v>
      </c>
      <c r="X11" s="25" t="s">
        <v>141</v>
      </c>
      <c r="Y11" s="25" t="s">
        <v>141</v>
      </c>
      <c r="Z11" s="42">
        <v>4</v>
      </c>
      <c r="AA11" s="42">
        <v>9</v>
      </c>
      <c r="AB11" s="42"/>
      <c r="AC11" s="42"/>
      <c r="AD11" s="42"/>
      <c r="AE11" s="42"/>
      <c r="AF11" s="23" t="s">
        <v>54</v>
      </c>
      <c r="AG11" s="42">
        <v>10</v>
      </c>
      <c r="AH11" s="42">
        <v>12</v>
      </c>
      <c r="AI11" s="42">
        <v>1</v>
      </c>
      <c r="AJ11" s="42">
        <v>3</v>
      </c>
      <c r="AK11" s="42"/>
      <c r="AL11" s="42"/>
      <c r="AM11" s="42" t="b">
        <f t="shared" si="2"/>
        <v>0</v>
      </c>
      <c r="AN11" s="42" t="b">
        <f t="shared" si="0"/>
        <v>0</v>
      </c>
      <c r="AO11" s="42" t="b">
        <f t="shared" si="1"/>
        <v>1</v>
      </c>
    </row>
    <row r="12" spans="1:44" x14ac:dyDescent="0.35">
      <c r="A12" s="81"/>
      <c r="B12" s="22">
        <v>8</v>
      </c>
      <c r="C12" s="23" t="s">
        <v>51</v>
      </c>
      <c r="D12" s="23" t="s">
        <v>48</v>
      </c>
      <c r="E12" s="23" t="s">
        <v>40</v>
      </c>
      <c r="F12" s="44">
        <v>650</v>
      </c>
      <c r="G12" s="24">
        <v>0</v>
      </c>
      <c r="H12" s="24">
        <v>0.999305555555556</v>
      </c>
      <c r="I12" s="24"/>
      <c r="J12" s="24"/>
      <c r="K12" s="24"/>
      <c r="L12" s="24"/>
      <c r="M12" s="22" t="s">
        <v>41</v>
      </c>
      <c r="N12" s="25" t="s">
        <v>141</v>
      </c>
      <c r="O12" s="25" t="s">
        <v>141</v>
      </c>
      <c r="P12" s="25" t="s">
        <v>141</v>
      </c>
      <c r="Q12" s="25" t="s">
        <v>143</v>
      </c>
      <c r="R12" s="25" t="s">
        <v>143</v>
      </c>
      <c r="S12" s="25" t="s">
        <v>143</v>
      </c>
      <c r="T12" s="25" t="s">
        <v>143</v>
      </c>
      <c r="U12" s="25" t="s">
        <v>143</v>
      </c>
      <c r="V12" s="25" t="s">
        <v>143</v>
      </c>
      <c r="W12" s="25" t="s">
        <v>141</v>
      </c>
      <c r="X12" s="25" t="s">
        <v>141</v>
      </c>
      <c r="Y12" s="25" t="s">
        <v>141</v>
      </c>
      <c r="Z12" s="42">
        <v>4</v>
      </c>
      <c r="AA12" s="42">
        <v>9</v>
      </c>
      <c r="AB12" s="42"/>
      <c r="AC12" s="42"/>
      <c r="AD12" s="42"/>
      <c r="AE12" s="42"/>
      <c r="AF12" s="23" t="s">
        <v>54</v>
      </c>
      <c r="AG12" s="42">
        <v>10</v>
      </c>
      <c r="AH12" s="42">
        <v>12</v>
      </c>
      <c r="AI12" s="42">
        <v>1</v>
      </c>
      <c r="AJ12" s="42">
        <v>3</v>
      </c>
      <c r="AK12" s="42"/>
      <c r="AL12" s="42"/>
      <c r="AM12" s="42" t="b">
        <f t="shared" si="2"/>
        <v>0</v>
      </c>
      <c r="AN12" s="42" t="b">
        <f t="shared" si="0"/>
        <v>0</v>
      </c>
      <c r="AO12" s="42" t="b">
        <f t="shared" si="1"/>
        <v>1</v>
      </c>
    </row>
    <row r="13" spans="1:44" x14ac:dyDescent="0.35">
      <c r="A13" s="81"/>
      <c r="B13" s="22">
        <v>9</v>
      </c>
      <c r="C13" s="23" t="s">
        <v>52</v>
      </c>
      <c r="D13" s="23" t="s">
        <v>48</v>
      </c>
      <c r="E13" s="23" t="s">
        <v>45</v>
      </c>
      <c r="F13" s="44">
        <v>1000</v>
      </c>
      <c r="G13" s="24">
        <v>0</v>
      </c>
      <c r="H13" s="24">
        <v>0.999305555555556</v>
      </c>
      <c r="I13" s="24"/>
      <c r="J13" s="24"/>
      <c r="K13" s="24"/>
      <c r="L13" s="24"/>
      <c r="M13" s="22" t="s">
        <v>41</v>
      </c>
      <c r="N13" s="25" t="s">
        <v>141</v>
      </c>
      <c r="O13" s="25" t="s">
        <v>141</v>
      </c>
      <c r="P13" s="25" t="s">
        <v>141</v>
      </c>
      <c r="Q13" s="25" t="s">
        <v>143</v>
      </c>
      <c r="R13" s="25" t="s">
        <v>143</v>
      </c>
      <c r="S13" s="25" t="s">
        <v>143</v>
      </c>
      <c r="T13" s="25" t="s">
        <v>143</v>
      </c>
      <c r="U13" s="25" t="s">
        <v>143</v>
      </c>
      <c r="V13" s="25" t="s">
        <v>143</v>
      </c>
      <c r="W13" s="25" t="s">
        <v>141</v>
      </c>
      <c r="X13" s="25" t="s">
        <v>141</v>
      </c>
      <c r="Y13" s="25" t="s">
        <v>141</v>
      </c>
      <c r="Z13" s="42">
        <v>4</v>
      </c>
      <c r="AA13" s="42">
        <v>9</v>
      </c>
      <c r="AB13" s="42"/>
      <c r="AC13" s="42"/>
      <c r="AD13" s="42"/>
      <c r="AE13" s="42"/>
      <c r="AF13" s="23" t="s">
        <v>54</v>
      </c>
      <c r="AG13" s="42">
        <v>10</v>
      </c>
      <c r="AH13" s="42">
        <v>12</v>
      </c>
      <c r="AI13" s="42">
        <v>1</v>
      </c>
      <c r="AJ13" s="42">
        <v>3</v>
      </c>
      <c r="AK13" s="42"/>
      <c r="AL13" s="42"/>
      <c r="AM13" s="42" t="b">
        <f t="shared" si="2"/>
        <v>0</v>
      </c>
      <c r="AN13" s="42" t="b">
        <f t="shared" si="0"/>
        <v>0</v>
      </c>
      <c r="AO13" s="42" t="b">
        <f t="shared" si="1"/>
        <v>1</v>
      </c>
    </row>
    <row r="14" spans="1:44" x14ac:dyDescent="0.35">
      <c r="A14" s="81"/>
      <c r="B14" s="22">
        <v>10</v>
      </c>
      <c r="C14" s="23" t="s">
        <v>5</v>
      </c>
      <c r="D14" s="23" t="s">
        <v>48</v>
      </c>
      <c r="E14" s="23" t="s">
        <v>45</v>
      </c>
      <c r="F14" s="44">
        <v>1000</v>
      </c>
      <c r="G14" s="24">
        <v>0</v>
      </c>
      <c r="H14" s="24">
        <v>0.999305555555556</v>
      </c>
      <c r="I14" s="24"/>
      <c r="J14" s="24"/>
      <c r="K14" s="24"/>
      <c r="L14" s="24"/>
      <c r="M14" s="22" t="s">
        <v>41</v>
      </c>
      <c r="N14" s="25" t="s">
        <v>141</v>
      </c>
      <c r="O14" s="25" t="s">
        <v>141</v>
      </c>
      <c r="P14" s="25" t="s">
        <v>141</v>
      </c>
      <c r="Q14" s="25" t="s">
        <v>143</v>
      </c>
      <c r="R14" s="25" t="s">
        <v>143</v>
      </c>
      <c r="S14" s="25" t="s">
        <v>143</v>
      </c>
      <c r="T14" s="25" t="s">
        <v>143</v>
      </c>
      <c r="U14" s="25" t="s">
        <v>143</v>
      </c>
      <c r="V14" s="25" t="s">
        <v>143</v>
      </c>
      <c r="W14" s="25" t="s">
        <v>141</v>
      </c>
      <c r="X14" s="25" t="s">
        <v>141</v>
      </c>
      <c r="Y14" s="25" t="s">
        <v>141</v>
      </c>
      <c r="Z14" s="42">
        <v>4</v>
      </c>
      <c r="AA14" s="42">
        <v>9</v>
      </c>
      <c r="AB14" s="42"/>
      <c r="AC14" s="42"/>
      <c r="AD14" s="42"/>
      <c r="AE14" s="42"/>
      <c r="AF14" s="23" t="s">
        <v>54</v>
      </c>
      <c r="AG14" s="42">
        <v>10</v>
      </c>
      <c r="AH14" s="42">
        <v>12</v>
      </c>
      <c r="AI14" s="42">
        <v>1</v>
      </c>
      <c r="AJ14" s="42">
        <v>3</v>
      </c>
      <c r="AK14" s="42"/>
      <c r="AL14" s="42"/>
      <c r="AM14" s="42" t="b">
        <f t="shared" si="2"/>
        <v>0</v>
      </c>
      <c r="AN14" s="42" t="b">
        <f t="shared" si="0"/>
        <v>0</v>
      </c>
      <c r="AO14" s="42" t="b">
        <f t="shared" si="1"/>
        <v>1</v>
      </c>
    </row>
    <row r="15" spans="1:44" x14ac:dyDescent="0.35">
      <c r="A15" s="81"/>
      <c r="B15" s="22">
        <v>11</v>
      </c>
      <c r="C15" s="23" t="s">
        <v>8</v>
      </c>
      <c r="D15" s="23" t="s">
        <v>48</v>
      </c>
      <c r="E15" s="23" t="s">
        <v>58</v>
      </c>
      <c r="F15" s="44">
        <v>3000</v>
      </c>
      <c r="G15" s="24">
        <v>0.16666666666666666</v>
      </c>
      <c r="H15" s="24">
        <v>0.875</v>
      </c>
      <c r="I15" s="24"/>
      <c r="J15" s="24"/>
      <c r="K15" s="24"/>
      <c r="L15" s="24"/>
      <c r="M15" s="22" t="s">
        <v>98</v>
      </c>
      <c r="N15" s="25"/>
      <c r="O15" s="25" t="s">
        <v>141</v>
      </c>
      <c r="P15" s="25" t="s">
        <v>141</v>
      </c>
      <c r="Q15" s="25" t="s">
        <v>141</v>
      </c>
      <c r="R15" s="25" t="s">
        <v>141</v>
      </c>
      <c r="S15" s="25"/>
      <c r="T15" s="25"/>
      <c r="U15" s="25" t="s">
        <v>143</v>
      </c>
      <c r="V15" s="25" t="s">
        <v>143</v>
      </c>
      <c r="W15" s="25" t="s">
        <v>143</v>
      </c>
      <c r="X15" s="25" t="s">
        <v>143</v>
      </c>
      <c r="Y15" s="25"/>
      <c r="Z15" s="42">
        <v>8</v>
      </c>
      <c r="AA15" s="42">
        <v>11</v>
      </c>
      <c r="AB15" s="42"/>
      <c r="AC15" s="42"/>
      <c r="AD15" s="42"/>
      <c r="AE15" s="42"/>
      <c r="AF15" s="23" t="s">
        <v>128</v>
      </c>
      <c r="AG15" s="42">
        <v>2</v>
      </c>
      <c r="AH15" s="42">
        <v>5</v>
      </c>
      <c r="AI15" s="42"/>
      <c r="AJ15" s="42"/>
      <c r="AK15" s="42"/>
      <c r="AL15" s="42"/>
      <c r="AM15" s="42" t="b">
        <f t="shared" si="2"/>
        <v>1</v>
      </c>
      <c r="AN15" s="42" t="b">
        <f t="shared" si="0"/>
        <v>1</v>
      </c>
      <c r="AO15" s="42" t="b">
        <f t="shared" si="1"/>
        <v>0</v>
      </c>
    </row>
    <row r="16" spans="1:44" x14ac:dyDescent="0.35">
      <c r="A16" s="81"/>
      <c r="B16" s="22">
        <v>12</v>
      </c>
      <c r="C16" s="23" t="s">
        <v>55</v>
      </c>
      <c r="D16" s="23" t="s">
        <v>39</v>
      </c>
      <c r="E16" s="23" t="s">
        <v>116</v>
      </c>
      <c r="F16" s="44">
        <v>2000</v>
      </c>
      <c r="G16" s="24">
        <v>0</v>
      </c>
      <c r="H16" s="24">
        <v>0.999305555555556</v>
      </c>
      <c r="I16" s="24"/>
      <c r="J16" s="24"/>
      <c r="K16" s="24"/>
      <c r="L16" s="24"/>
      <c r="M16" s="22" t="s">
        <v>41</v>
      </c>
      <c r="N16" s="25"/>
      <c r="O16" s="25" t="s">
        <v>141</v>
      </c>
      <c r="P16" s="25" t="s">
        <v>141</v>
      </c>
      <c r="Q16" s="25" t="s">
        <v>141</v>
      </c>
      <c r="R16" s="25"/>
      <c r="S16" s="25"/>
      <c r="T16" s="25"/>
      <c r="U16" s="25" t="s">
        <v>143</v>
      </c>
      <c r="V16" s="25" t="s">
        <v>143</v>
      </c>
      <c r="W16" s="25" t="s">
        <v>143</v>
      </c>
      <c r="X16" s="25"/>
      <c r="Y16" s="25"/>
      <c r="Z16" s="42">
        <v>8</v>
      </c>
      <c r="AA16" s="42">
        <v>10</v>
      </c>
      <c r="AB16" s="42"/>
      <c r="AC16" s="42"/>
      <c r="AD16" s="42"/>
      <c r="AE16" s="42"/>
      <c r="AF16" s="23" t="s">
        <v>117</v>
      </c>
      <c r="AG16" s="42">
        <v>2</v>
      </c>
      <c r="AH16" s="42">
        <v>4</v>
      </c>
      <c r="AI16" s="42"/>
      <c r="AJ16" s="42"/>
      <c r="AK16" s="42"/>
      <c r="AL16" s="42"/>
      <c r="AM16" s="42" t="b">
        <f t="shared" si="2"/>
        <v>0</v>
      </c>
      <c r="AN16" s="42" t="b">
        <f t="shared" si="0"/>
        <v>0</v>
      </c>
      <c r="AO16" s="42" t="b">
        <f t="shared" si="1"/>
        <v>0</v>
      </c>
    </row>
    <row r="17" spans="1:41" x14ac:dyDescent="0.35">
      <c r="A17" s="81"/>
      <c r="B17" s="22">
        <v>13</v>
      </c>
      <c r="C17" s="23" t="s">
        <v>57</v>
      </c>
      <c r="D17" s="23" t="s">
        <v>39</v>
      </c>
      <c r="E17" s="23" t="s">
        <v>49</v>
      </c>
      <c r="F17" s="26">
        <v>3750</v>
      </c>
      <c r="G17" s="24">
        <v>0.66666666666666663</v>
      </c>
      <c r="H17" s="24">
        <v>0.99930555555555556</v>
      </c>
      <c r="I17" s="24">
        <v>0</v>
      </c>
      <c r="J17" s="24">
        <v>0.375</v>
      </c>
      <c r="K17" s="24"/>
      <c r="L17" s="24"/>
      <c r="M17" s="22" t="s">
        <v>47</v>
      </c>
      <c r="N17" s="25"/>
      <c r="O17" s="25" t="s">
        <v>141</v>
      </c>
      <c r="P17" s="25" t="s">
        <v>141</v>
      </c>
      <c r="Q17" s="25"/>
      <c r="R17" s="25"/>
      <c r="S17" s="25"/>
      <c r="T17" s="25"/>
      <c r="U17" s="25" t="s">
        <v>143</v>
      </c>
      <c r="V17" s="25" t="s">
        <v>143</v>
      </c>
      <c r="W17" s="25"/>
      <c r="X17" s="25"/>
      <c r="Y17" s="25"/>
      <c r="Z17" s="42">
        <v>8</v>
      </c>
      <c r="AA17" s="42">
        <v>9</v>
      </c>
      <c r="AB17" s="42"/>
      <c r="AC17" s="42"/>
      <c r="AD17" s="42"/>
      <c r="AE17" s="42"/>
      <c r="AF17" s="23" t="s">
        <v>56</v>
      </c>
      <c r="AG17" s="42">
        <v>2</v>
      </c>
      <c r="AH17" s="42">
        <v>3</v>
      </c>
      <c r="AI17" s="42"/>
      <c r="AJ17" s="42"/>
      <c r="AK17" s="42"/>
      <c r="AL17" s="42"/>
      <c r="AM17" s="42" t="b">
        <f t="shared" si="2"/>
        <v>0</v>
      </c>
      <c r="AN17" s="42" t="b">
        <f t="shared" si="0"/>
        <v>0</v>
      </c>
      <c r="AO17" s="42" t="b">
        <f t="shared" si="1"/>
        <v>0</v>
      </c>
    </row>
    <row r="18" spans="1:41" x14ac:dyDescent="0.35">
      <c r="A18" s="81"/>
      <c r="B18" s="22">
        <v>14</v>
      </c>
      <c r="C18" s="23" t="s">
        <v>7</v>
      </c>
      <c r="D18" s="23" t="s">
        <v>48</v>
      </c>
      <c r="E18" s="23" t="s">
        <v>46</v>
      </c>
      <c r="F18" s="44">
        <v>500</v>
      </c>
      <c r="G18" s="24">
        <v>0</v>
      </c>
      <c r="H18" s="24">
        <v>0.999305555555556</v>
      </c>
      <c r="I18" s="24"/>
      <c r="J18" s="24"/>
      <c r="K18" s="24"/>
      <c r="L18" s="24"/>
      <c r="M18" s="22" t="s">
        <v>41</v>
      </c>
      <c r="N18" s="25" t="s">
        <v>152</v>
      </c>
      <c r="O18" s="25" t="s">
        <v>152</v>
      </c>
      <c r="P18" s="25" t="s">
        <v>143</v>
      </c>
      <c r="Q18" s="25" t="s">
        <v>143</v>
      </c>
      <c r="R18" s="25" t="s">
        <v>143</v>
      </c>
      <c r="S18" s="25" t="s">
        <v>152</v>
      </c>
      <c r="T18" s="25" t="s">
        <v>152</v>
      </c>
      <c r="U18" s="25" t="s">
        <v>152</v>
      </c>
      <c r="V18" s="25" t="s">
        <v>141</v>
      </c>
      <c r="W18" s="25" t="s">
        <v>141</v>
      </c>
      <c r="X18" s="25" t="s">
        <v>141</v>
      </c>
      <c r="Y18" s="25" t="s">
        <v>152</v>
      </c>
      <c r="Z18" s="42">
        <v>1</v>
      </c>
      <c r="AA18" s="42">
        <v>8</v>
      </c>
      <c r="AB18" s="42">
        <v>12</v>
      </c>
      <c r="AC18" s="42">
        <v>12</v>
      </c>
      <c r="AD18" s="42"/>
      <c r="AE18" s="42"/>
      <c r="AF18" s="23" t="s">
        <v>114</v>
      </c>
      <c r="AG18" s="42">
        <v>6</v>
      </c>
      <c r="AH18" s="42">
        <v>12</v>
      </c>
      <c r="AI18" s="42">
        <v>1</v>
      </c>
      <c r="AJ18" s="42">
        <v>2</v>
      </c>
      <c r="AK18" s="42"/>
      <c r="AL18" s="42"/>
      <c r="AM18" s="42" t="b">
        <f t="shared" si="2"/>
        <v>0</v>
      </c>
      <c r="AN18" s="42" t="b">
        <f t="shared" si="0"/>
        <v>0</v>
      </c>
      <c r="AO18" s="42" t="b">
        <f t="shared" si="1"/>
        <v>1</v>
      </c>
    </row>
    <row r="19" spans="1:41" x14ac:dyDescent="0.35">
      <c r="A19" s="81"/>
      <c r="B19" s="22">
        <v>15</v>
      </c>
      <c r="C19" s="23" t="s">
        <v>6</v>
      </c>
      <c r="D19" s="23" t="s">
        <v>48</v>
      </c>
      <c r="E19" s="23" t="s">
        <v>45</v>
      </c>
      <c r="F19" s="22">
        <v>500</v>
      </c>
      <c r="G19" s="24">
        <v>0</v>
      </c>
      <c r="H19" s="24">
        <v>0.999305555555556</v>
      </c>
      <c r="I19" s="24"/>
      <c r="J19" s="24"/>
      <c r="K19" s="24"/>
      <c r="L19" s="24"/>
      <c r="M19" s="22" t="s">
        <v>41</v>
      </c>
      <c r="N19" s="25" t="s">
        <v>143</v>
      </c>
      <c r="O19" s="25" t="s">
        <v>143</v>
      </c>
      <c r="P19" s="25"/>
      <c r="Q19" s="25"/>
      <c r="R19" s="25"/>
      <c r="S19" s="25" t="s">
        <v>141</v>
      </c>
      <c r="T19" s="25" t="s">
        <v>141</v>
      </c>
      <c r="U19" s="25" t="s">
        <v>141</v>
      </c>
      <c r="V19" s="25"/>
      <c r="W19" s="25"/>
      <c r="X19" s="25"/>
      <c r="Y19" s="25" t="s">
        <v>143</v>
      </c>
      <c r="Z19" s="42">
        <v>1</v>
      </c>
      <c r="AA19" s="42">
        <v>2</v>
      </c>
      <c r="AB19" s="42">
        <v>12</v>
      </c>
      <c r="AC19" s="42">
        <v>12</v>
      </c>
      <c r="AD19" s="42"/>
      <c r="AE19" s="42"/>
      <c r="AF19" s="23" t="s">
        <v>74</v>
      </c>
      <c r="AG19" s="42">
        <v>6</v>
      </c>
      <c r="AH19" s="42">
        <v>8</v>
      </c>
      <c r="AI19" s="42"/>
      <c r="AJ19" s="42"/>
      <c r="AK19" s="42"/>
      <c r="AL19" s="42"/>
      <c r="AM19" s="42" t="b">
        <f t="shared" si="2"/>
        <v>0</v>
      </c>
      <c r="AN19" s="42" t="b">
        <f t="shared" si="0"/>
        <v>0</v>
      </c>
      <c r="AO19" s="42" t="b">
        <f t="shared" si="1"/>
        <v>0</v>
      </c>
    </row>
    <row r="20" spans="1:41" x14ac:dyDescent="0.35">
      <c r="A20" s="81"/>
      <c r="B20" s="22">
        <v>16</v>
      </c>
      <c r="C20" s="23" t="s">
        <v>63</v>
      </c>
      <c r="D20" s="23" t="s">
        <v>39</v>
      </c>
      <c r="E20" s="23" t="s">
        <v>58</v>
      </c>
      <c r="F20" s="26">
        <v>15000</v>
      </c>
      <c r="G20" s="24">
        <v>0.66666666666666663</v>
      </c>
      <c r="H20" s="24">
        <v>0.99930555555555556</v>
      </c>
      <c r="I20" s="24">
        <v>0</v>
      </c>
      <c r="J20" s="24">
        <v>0.375</v>
      </c>
      <c r="K20" s="24"/>
      <c r="L20" s="24"/>
      <c r="M20" s="22" t="s">
        <v>47</v>
      </c>
      <c r="N20" s="25" t="s">
        <v>143</v>
      </c>
      <c r="O20" s="25" t="s">
        <v>143</v>
      </c>
      <c r="P20" s="25" t="s">
        <v>143</v>
      </c>
      <c r="Q20" s="25"/>
      <c r="R20" s="25"/>
      <c r="S20" s="25" t="s">
        <v>141</v>
      </c>
      <c r="T20" s="25" t="s">
        <v>141</v>
      </c>
      <c r="U20" s="25" t="s">
        <v>141</v>
      </c>
      <c r="V20" s="25" t="s">
        <v>141</v>
      </c>
      <c r="W20" s="25"/>
      <c r="X20" s="25"/>
      <c r="Y20" s="25" t="s">
        <v>143</v>
      </c>
      <c r="Z20" s="42">
        <v>1</v>
      </c>
      <c r="AA20" s="42">
        <v>3</v>
      </c>
      <c r="AB20" s="42">
        <v>12</v>
      </c>
      <c r="AC20" s="42">
        <v>12</v>
      </c>
      <c r="AD20" s="42"/>
      <c r="AE20" s="42"/>
      <c r="AF20" s="23" t="s">
        <v>83</v>
      </c>
      <c r="AG20" s="42">
        <v>6</v>
      </c>
      <c r="AH20" s="42">
        <v>9</v>
      </c>
      <c r="AI20" s="42"/>
      <c r="AJ20" s="42"/>
      <c r="AK20" s="42"/>
      <c r="AL20" s="42"/>
      <c r="AM20" s="42" t="b">
        <f t="shared" si="2"/>
        <v>0</v>
      </c>
      <c r="AN20" s="42" t="b">
        <f>AND(OR(AND(Z$20&lt;=Z$2,AA20&gt;=Z$2), AND(AB20&lt;=Z$2,AC20&gt;=Z$2), AND(AD20&lt;=Z$2,AE20&gt;=Z$2)), OR(AND(G$20&lt;=G$2, H20&gt;=G$2),AND(I20&lt;=G$2,J20&gt;=G$2),AND(K20&lt;=G$2,L20&gt;=G$2)))</f>
        <v>0</v>
      </c>
      <c r="AO20" s="42" t="b">
        <f>AND(OR(AND(AG$20&lt;=Z$2,AH20&gt;=Z$2), AND(AI20&lt;=Z$2,AJ20&gt;=Z$2), AND(AK20&lt;=Z$2,AL20&gt;=Z$2)), OR(AND(G$20&lt;=G$2, H20&gt;=G$2),AND(I20&lt;=G$2,J20&gt;=G$2),AND(K20&lt;=G$2,L20&gt;=G$2)))</f>
        <v>0</v>
      </c>
    </row>
    <row r="21" spans="1:41" x14ac:dyDescent="0.35">
      <c r="A21" s="81"/>
      <c r="B21" s="22">
        <v>17</v>
      </c>
      <c r="C21" s="23" t="s">
        <v>64</v>
      </c>
      <c r="D21" s="23" t="s">
        <v>39</v>
      </c>
      <c r="E21" s="23" t="s">
        <v>40</v>
      </c>
      <c r="F21" s="44">
        <v>1000</v>
      </c>
      <c r="G21" s="24">
        <v>0</v>
      </c>
      <c r="H21" s="24">
        <v>0.999305555555556</v>
      </c>
      <c r="I21" s="24"/>
      <c r="J21" s="24"/>
      <c r="K21" s="24"/>
      <c r="L21" s="24"/>
      <c r="M21" s="22" t="s">
        <v>41</v>
      </c>
      <c r="N21" s="25" t="s">
        <v>143</v>
      </c>
      <c r="O21" s="25" t="s">
        <v>143</v>
      </c>
      <c r="P21" s="25" t="s">
        <v>143</v>
      </c>
      <c r="Q21" s="25"/>
      <c r="R21" s="25"/>
      <c r="S21" s="25" t="s">
        <v>141</v>
      </c>
      <c r="T21" s="25" t="s">
        <v>141</v>
      </c>
      <c r="U21" s="25" t="s">
        <v>141</v>
      </c>
      <c r="V21" s="25" t="s">
        <v>141</v>
      </c>
      <c r="W21" s="25"/>
      <c r="X21" s="25"/>
      <c r="Y21" s="25" t="s">
        <v>143</v>
      </c>
      <c r="Z21" s="42">
        <v>1</v>
      </c>
      <c r="AA21" s="42">
        <v>3</v>
      </c>
      <c r="AB21" s="42">
        <v>12</v>
      </c>
      <c r="AC21" s="42">
        <v>12</v>
      </c>
      <c r="AD21" s="42"/>
      <c r="AE21" s="42"/>
      <c r="AF21" s="23" t="s">
        <v>83</v>
      </c>
      <c r="AG21" s="42">
        <v>6</v>
      </c>
      <c r="AH21" s="42">
        <v>9</v>
      </c>
      <c r="AI21" s="42"/>
      <c r="AJ21" s="42"/>
      <c r="AK21" s="42"/>
      <c r="AL21" s="42"/>
      <c r="AM21" s="42" t="b">
        <f t="shared" si="2"/>
        <v>0</v>
      </c>
      <c r="AN21" s="42" t="b">
        <f>AND(OR(AND(Z$21&lt;=Z$2,AA21&gt;=Z$2), AND(AB21&lt;=Z$2,AC21&gt;=Z$2), AND(AD21&lt;=Z$2,AE21&gt;=Z$2)), OR(AND(FOP1&lt;=G$2, H21&gt;=G$2),AND(I21&lt;=G$2,J21&gt;=G$2),AND(K21&lt;=G$2,L21&gt;=G$2)))</f>
        <v>0</v>
      </c>
      <c r="AO21" s="42" t="b">
        <f>AND(OR(AND(AG$21&lt;=Z$2,AH21&gt;=Z$2), AND(AI21&lt;=Z$2,AJ21&gt;=Z$2), AND(AK21&lt;=Z$2,AL21&gt;=Z$2)), OR(AND(G$21&lt;=G$2, H21&gt;=G$2),AND(I21&lt;=G$2,J21&gt;=G$2),AND(K21&lt;=G$2,L21&gt;=G$2)))</f>
        <v>0</v>
      </c>
    </row>
    <row r="22" spans="1:41" x14ac:dyDescent="0.35">
      <c r="A22" s="81"/>
      <c r="B22" s="22">
        <v>18</v>
      </c>
      <c r="C22" s="23" t="s">
        <v>9</v>
      </c>
      <c r="D22" s="23" t="s">
        <v>48</v>
      </c>
      <c r="E22" s="23" t="s">
        <v>88</v>
      </c>
      <c r="F22" s="44">
        <v>9000</v>
      </c>
      <c r="G22" s="24">
        <v>0</v>
      </c>
      <c r="H22" s="24">
        <v>0.999305555555556</v>
      </c>
      <c r="I22" s="24"/>
      <c r="J22" s="24"/>
      <c r="K22" s="24"/>
      <c r="L22" s="24"/>
      <c r="M22" s="22" t="s">
        <v>41</v>
      </c>
      <c r="N22" s="25" t="s">
        <v>143</v>
      </c>
      <c r="O22" s="25" t="s">
        <v>143</v>
      </c>
      <c r="P22" s="25" t="s">
        <v>143</v>
      </c>
      <c r="Q22" s="25" t="s">
        <v>143</v>
      </c>
      <c r="R22" s="25" t="s">
        <v>143</v>
      </c>
      <c r="S22" s="25" t="s">
        <v>141</v>
      </c>
      <c r="T22" s="25" t="s">
        <v>141</v>
      </c>
      <c r="U22" s="25" t="s">
        <v>141</v>
      </c>
      <c r="V22" s="25" t="s">
        <v>141</v>
      </c>
      <c r="W22" s="25" t="s">
        <v>141</v>
      </c>
      <c r="X22" s="25" t="s">
        <v>141</v>
      </c>
      <c r="Y22" s="25" t="s">
        <v>143</v>
      </c>
      <c r="Z22" s="42">
        <v>1</v>
      </c>
      <c r="AA22" s="42">
        <v>5</v>
      </c>
      <c r="AB22" s="42">
        <v>12</v>
      </c>
      <c r="AC22" s="42">
        <v>12</v>
      </c>
      <c r="AD22" s="42"/>
      <c r="AE22" s="42"/>
      <c r="AF22" s="23" t="s">
        <v>133</v>
      </c>
      <c r="AG22" s="42">
        <v>6</v>
      </c>
      <c r="AH22" s="42">
        <v>11</v>
      </c>
      <c r="AI22" s="42"/>
      <c r="AJ22" s="42"/>
      <c r="AK22" s="42"/>
      <c r="AL22" s="42"/>
      <c r="AM22" s="42" t="b">
        <f t="shared" si="2"/>
        <v>0</v>
      </c>
      <c r="AN22" s="42" t="b">
        <f>AND(OR(AND(Z$22&lt;=Z$2,AA22&gt;=Z$2), AND(AB22&lt;=Z$2,AC22&gt;=Z$2), AND(AD22&lt;=Z$2,AE22&gt;=Z$2)), OR(AND(FOP2&lt;=G$2, H22&gt;=G$2),AND(I22&lt;=G$2,J22&gt;=G$2),AND(K22&lt;=G$2,L22&gt;=G$2)))</f>
        <v>0</v>
      </c>
      <c r="AO22" s="42" t="b">
        <f>AND(OR(AND(AG$22&lt;=Z$2,AH22&gt;=Z$2), AND(AI22&lt;=Z$2,AJ22&gt;=Z$2), AND(AK22&lt;=Z$2,AL22&gt;=Z$2)), OR(AND(G$22&lt;=G$2, H22&gt;=G$2),AND(I22&lt;=G$2,J22&gt;=G$2),AND(K22&lt;=G$2,L22&gt;=G$2)))</f>
        <v>1</v>
      </c>
    </row>
    <row r="23" spans="1:41" x14ac:dyDescent="0.35">
      <c r="A23" s="81"/>
      <c r="B23" s="22">
        <v>19</v>
      </c>
      <c r="C23" s="23" t="s">
        <v>10</v>
      </c>
      <c r="D23" s="23" t="s">
        <v>48</v>
      </c>
      <c r="E23" s="23" t="s">
        <v>88</v>
      </c>
      <c r="F23" s="44">
        <v>10000</v>
      </c>
      <c r="G23" s="24">
        <v>0.16666666666666666</v>
      </c>
      <c r="H23" s="24">
        <v>0.875</v>
      </c>
      <c r="I23" s="24"/>
      <c r="J23" s="24"/>
      <c r="K23" s="24"/>
      <c r="L23" s="24"/>
      <c r="M23" s="22" t="s">
        <v>98</v>
      </c>
      <c r="N23" s="25" t="s">
        <v>141</v>
      </c>
      <c r="O23" s="25" t="s">
        <v>141</v>
      </c>
      <c r="P23" s="25"/>
      <c r="Q23" s="25"/>
      <c r="R23" s="25"/>
      <c r="S23" s="25"/>
      <c r="T23" s="25" t="s">
        <v>143</v>
      </c>
      <c r="U23" s="25" t="s">
        <v>143</v>
      </c>
      <c r="V23" s="25"/>
      <c r="W23" s="25"/>
      <c r="X23" s="25"/>
      <c r="Y23" s="25"/>
      <c r="Z23" s="42">
        <v>7</v>
      </c>
      <c r="AA23" s="42">
        <v>8</v>
      </c>
      <c r="AB23" s="42"/>
      <c r="AC23" s="42"/>
      <c r="AD23" s="42"/>
      <c r="AE23" s="42"/>
      <c r="AF23" s="23" t="s">
        <v>107</v>
      </c>
      <c r="AG23" s="42">
        <v>1</v>
      </c>
      <c r="AH23" s="42">
        <v>2</v>
      </c>
      <c r="AI23" s="42"/>
      <c r="AJ23" s="42"/>
      <c r="AK23" s="42"/>
      <c r="AL23" s="42"/>
      <c r="AM23" s="42" t="b">
        <f t="shared" si="2"/>
        <v>0</v>
      </c>
      <c r="AN23" s="42" t="b">
        <f>AND(OR(AND(Z$23&lt;=Z$2,AA23&gt;=Z$2), AND(AB23&lt;=Z$2,AC23&gt;=Z$2), AND(AD23&lt;=Z$2,AE23&gt;=Z$2)), OR(AND(FOP3&lt;=G$2, H23&gt;=G$2),AND(I23&lt;=G$2,J23&gt;=G$2),AND(K23&lt;=G$2,L23&gt;=G$2)))</f>
        <v>0</v>
      </c>
      <c r="AO23" s="42" t="b">
        <f>AND(OR(AND(AG$23&lt;=Z$2,AH23&gt;=Z$2), AND(AI23&lt;=Z$2,AJ23&gt;=Z$2), AND(AK23&lt;=Z$2,AL23&gt;=Z$2)), OR(AND(G$23&lt;=G$2, H23&gt;=G$2),AND(I23&lt;=G$2,J23&gt;=G$2),AND(K23&lt;=G$2,L23&gt;=G$2)))</f>
        <v>0</v>
      </c>
    </row>
    <row r="24" spans="1:41" x14ac:dyDescent="0.35">
      <c r="A24" s="81"/>
      <c r="B24" s="22">
        <v>20</v>
      </c>
      <c r="C24" s="23" t="s">
        <v>11</v>
      </c>
      <c r="D24" s="23" t="s">
        <v>39</v>
      </c>
      <c r="E24" s="23" t="s">
        <v>46</v>
      </c>
      <c r="F24" s="22">
        <v>900</v>
      </c>
      <c r="G24" s="24">
        <v>0</v>
      </c>
      <c r="H24" s="24">
        <v>0.999305555555556</v>
      </c>
      <c r="I24" s="24"/>
      <c r="J24" s="24"/>
      <c r="K24" s="24"/>
      <c r="L24" s="24"/>
      <c r="M24" s="22" t="s">
        <v>41</v>
      </c>
      <c r="N24" s="25" t="s">
        <v>141</v>
      </c>
      <c r="O24" s="25" t="s">
        <v>141</v>
      </c>
      <c r="P24" s="25" t="s">
        <v>141</v>
      </c>
      <c r="Q24" s="25"/>
      <c r="R24" s="25"/>
      <c r="S24" s="25"/>
      <c r="T24" s="25" t="s">
        <v>143</v>
      </c>
      <c r="U24" s="25" t="s">
        <v>143</v>
      </c>
      <c r="V24" s="25" t="s">
        <v>143</v>
      </c>
      <c r="W24" s="25"/>
      <c r="X24" s="25"/>
      <c r="Y24" s="25"/>
      <c r="Z24" s="42">
        <v>7</v>
      </c>
      <c r="AA24" s="42">
        <v>9</v>
      </c>
      <c r="AB24" s="42"/>
      <c r="AC24" s="42"/>
      <c r="AD24" s="42"/>
      <c r="AE24" s="42"/>
      <c r="AF24" s="23" t="s">
        <v>75</v>
      </c>
      <c r="AG24" s="42">
        <v>1</v>
      </c>
      <c r="AH24" s="42">
        <v>3</v>
      </c>
      <c r="AI24" s="42"/>
      <c r="AJ24" s="42"/>
      <c r="AK24" s="42"/>
      <c r="AL24" s="42"/>
      <c r="AM24" s="42" t="b">
        <f t="shared" si="2"/>
        <v>0</v>
      </c>
      <c r="AN24" s="42" t="b">
        <f>AND(OR(AND(Z$24&lt;=Z$2,AA24&gt;=Z$2), AND(AB24&lt;=Z$2,AC24&gt;=Z$2), AND(AD24&lt;=Z$2,AE24&gt;=Z$2)), OR(AND(FOP4&lt;=G$2, H24&gt;=G$2),AND(I24&lt;=G$2,J24&gt;=G$2),AND(K24&lt;=G$2,L24&gt;=G$2)))</f>
        <v>0</v>
      </c>
      <c r="AO24" s="42" t="b">
        <f>AND(OR(AND(AG$24&lt;=Z$2,AH24&gt;=Z$2), AND(AI24&lt;=Z$2,AJ24&gt;=Z$2), AND(AK24&lt;=Z$2,AL24&gt;=Z$2)), OR(AND(G$24&lt;=G$2, H24&gt;=G$2),AND(I24&lt;=G$2,J24&gt;=G$2),AND(K24&lt;=G$2,L24&gt;=G$2)))</f>
        <v>0</v>
      </c>
    </row>
    <row r="25" spans="1:41" x14ac:dyDescent="0.35">
      <c r="A25" s="81"/>
      <c r="B25" s="22">
        <v>21</v>
      </c>
      <c r="C25" s="23" t="s">
        <v>68</v>
      </c>
      <c r="D25" s="23" t="s">
        <v>39</v>
      </c>
      <c r="E25" s="23" t="s">
        <v>46</v>
      </c>
      <c r="F25" s="44">
        <v>250</v>
      </c>
      <c r="G25" s="24">
        <v>0</v>
      </c>
      <c r="H25" s="24">
        <v>0.999305555555556</v>
      </c>
      <c r="I25" s="24"/>
      <c r="J25" s="24"/>
      <c r="K25" s="24"/>
      <c r="L25" s="24"/>
      <c r="M25" s="22" t="s">
        <v>41</v>
      </c>
      <c r="N25" s="25" t="s">
        <v>141</v>
      </c>
      <c r="O25" s="25" t="s">
        <v>141</v>
      </c>
      <c r="P25" s="25" t="s">
        <v>141</v>
      </c>
      <c r="Q25" s="25"/>
      <c r="R25" s="25"/>
      <c r="S25" s="25"/>
      <c r="T25" s="25" t="s">
        <v>143</v>
      </c>
      <c r="U25" s="25" t="s">
        <v>143</v>
      </c>
      <c r="V25" s="25" t="s">
        <v>143</v>
      </c>
      <c r="W25" s="25"/>
      <c r="X25" s="25"/>
      <c r="Y25" s="25"/>
      <c r="Z25" s="42">
        <v>7</v>
      </c>
      <c r="AA25" s="42">
        <v>9</v>
      </c>
      <c r="AB25" s="42"/>
      <c r="AC25" s="42"/>
      <c r="AD25" s="42"/>
      <c r="AE25" s="42"/>
      <c r="AF25" s="23" t="s">
        <v>75</v>
      </c>
      <c r="AG25" s="42">
        <v>1</v>
      </c>
      <c r="AH25" s="42">
        <v>3</v>
      </c>
      <c r="AI25" s="42"/>
      <c r="AJ25" s="42"/>
      <c r="AK25" s="42"/>
      <c r="AL25" s="42"/>
      <c r="AM25" s="42" t="b">
        <f t="shared" si="2"/>
        <v>0</v>
      </c>
      <c r="AN25" s="42" t="b">
        <f>AND(OR(AND(Z$25&lt;=Z$2,AA25&gt;=Z$2), AND(AB25&lt;=Z$2,AC25&gt;=Z$2), AND(AD25&lt;=Z$2,AE25&gt;=Z$2)), OR(AND(FOP5&lt;=G$2, H25&gt;=G$2),AND(I25&lt;=G$2,J25&gt;=G$2),AND(K25&lt;=G$2,L25&gt;=G$2)))</f>
        <v>0</v>
      </c>
      <c r="AO25" s="42" t="b">
        <f>AND(OR(AND(AG$25&lt;=Z$2,AH25&gt;=Z$2), AND(AI25&lt;=Z$2,AJ25&gt;=Z$2), AND(AK25&lt;=Z$2,AL25&gt;=Z$2)), OR(AND(G$25&lt;=G$2, H25&gt;=G$2),AND(I25&lt;=G$2,J25&gt;=G$2),AND(K25&lt;=G$2,L25&gt;=G$2)))</f>
        <v>0</v>
      </c>
    </row>
    <row r="26" spans="1:41" x14ac:dyDescent="0.35">
      <c r="A26" s="81"/>
      <c r="B26" s="22">
        <v>22</v>
      </c>
      <c r="C26" s="23" t="s">
        <v>12</v>
      </c>
      <c r="D26" s="23" t="s">
        <v>39</v>
      </c>
      <c r="E26" s="23" t="s">
        <v>126</v>
      </c>
      <c r="F26" s="44">
        <v>4000</v>
      </c>
      <c r="G26" s="24">
        <v>0.16666666666666699</v>
      </c>
      <c r="H26" s="24">
        <v>0.875</v>
      </c>
      <c r="I26" s="24"/>
      <c r="J26" s="24"/>
      <c r="K26" s="24"/>
      <c r="L26" s="24"/>
      <c r="M26" s="22" t="s">
        <v>98</v>
      </c>
      <c r="N26" s="25" t="s">
        <v>141</v>
      </c>
      <c r="O26" s="25" t="s">
        <v>141</v>
      </c>
      <c r="P26" s="25" t="s">
        <v>141</v>
      </c>
      <c r="Q26" s="25"/>
      <c r="R26" s="25"/>
      <c r="S26" s="25"/>
      <c r="T26" s="25" t="s">
        <v>143</v>
      </c>
      <c r="U26" s="25" t="s">
        <v>143</v>
      </c>
      <c r="V26" s="25" t="s">
        <v>143</v>
      </c>
      <c r="W26" s="25"/>
      <c r="X26" s="25"/>
      <c r="Y26" s="25"/>
      <c r="Z26" s="42">
        <v>7</v>
      </c>
      <c r="AA26" s="42">
        <v>9</v>
      </c>
      <c r="AB26" s="42"/>
      <c r="AC26" s="42"/>
      <c r="AD26" s="42"/>
      <c r="AE26" s="42"/>
      <c r="AF26" s="23" t="s">
        <v>75</v>
      </c>
      <c r="AG26" s="42">
        <v>1</v>
      </c>
      <c r="AH26" s="42">
        <v>3</v>
      </c>
      <c r="AI26" s="42"/>
      <c r="AJ26" s="42"/>
      <c r="AK26" s="42"/>
      <c r="AL26" s="42"/>
      <c r="AM26" s="42" t="b">
        <f t="shared" si="2"/>
        <v>0</v>
      </c>
      <c r="AN26" s="42" t="b">
        <f>AND(OR(AND(Z$26&lt;=Z$2,AA26&gt;=Z$2), AND(AB26&lt;=Z$2,AC26&gt;=Z$2), AND(AD26&lt;=Z$2,AE26&gt;=Z$2)), OR(AND(FOP6&lt;=G$2, H26&gt;=G$2),AND(I26&lt;=G$2,J26&gt;=G$2),AND(K26&lt;=G$2,L26&gt;=G$2)))</f>
        <v>0</v>
      </c>
      <c r="AO26" s="42" t="b">
        <f>AND(OR(AND(AG$26&lt;=Z$2,AH26&gt;=Z$2), AND(AI26&lt;=Z$2,AJ26&gt;=Z$2), AND(AK26&lt;=Z$2,AL26&gt;=Z$2)), OR(AND(G$26&lt;=G$2, H26&gt;=G$2),AND(I26&lt;=G$2,J26&gt;=G$2),AND(K26&lt;=G$2,L26&gt;=G$2)))</f>
        <v>0</v>
      </c>
    </row>
    <row r="27" spans="1:41" x14ac:dyDescent="0.35">
      <c r="A27" s="81"/>
      <c r="B27" s="22">
        <v>23</v>
      </c>
      <c r="C27" s="23" t="s">
        <v>13</v>
      </c>
      <c r="D27" s="23" t="s">
        <v>39</v>
      </c>
      <c r="E27" s="23" t="s">
        <v>88</v>
      </c>
      <c r="F27" s="44">
        <v>10000</v>
      </c>
      <c r="G27" s="24">
        <v>0</v>
      </c>
      <c r="H27" s="24">
        <v>0.999305555555556</v>
      </c>
      <c r="I27" s="24"/>
      <c r="J27" s="24"/>
      <c r="K27" s="24"/>
      <c r="L27" s="24"/>
      <c r="M27" s="22" t="s">
        <v>41</v>
      </c>
      <c r="N27" s="25" t="s">
        <v>152</v>
      </c>
      <c r="O27" s="25" t="s">
        <v>152</v>
      </c>
      <c r="P27" s="25" t="s">
        <v>152</v>
      </c>
      <c r="Q27" s="25" t="s">
        <v>143</v>
      </c>
      <c r="R27" s="25" t="s">
        <v>141</v>
      </c>
      <c r="S27" s="25" t="s">
        <v>141</v>
      </c>
      <c r="T27" s="25" t="s">
        <v>152</v>
      </c>
      <c r="U27" s="25" t="s">
        <v>152</v>
      </c>
      <c r="V27" s="25" t="s">
        <v>152</v>
      </c>
      <c r="W27" s="25" t="s">
        <v>141</v>
      </c>
      <c r="X27" s="25" t="s">
        <v>152</v>
      </c>
      <c r="Y27" s="25" t="s">
        <v>143</v>
      </c>
      <c r="Z27" s="42">
        <v>7</v>
      </c>
      <c r="AA27" s="42">
        <v>9</v>
      </c>
      <c r="AB27" s="42">
        <v>11</v>
      </c>
      <c r="AC27" s="42">
        <v>12</v>
      </c>
      <c r="AD27" s="42">
        <v>1</v>
      </c>
      <c r="AE27" s="42">
        <v>4</v>
      </c>
      <c r="AF27" s="23" t="s">
        <v>122</v>
      </c>
      <c r="AG27" s="42">
        <v>1</v>
      </c>
      <c r="AH27" s="42">
        <v>3</v>
      </c>
      <c r="AI27" s="42">
        <v>5</v>
      </c>
      <c r="AJ27" s="42">
        <v>11</v>
      </c>
      <c r="AK27" s="42"/>
      <c r="AL27" s="42"/>
      <c r="AM27" s="42" t="b">
        <f t="shared" si="2"/>
        <v>1</v>
      </c>
      <c r="AN27" s="42" t="b">
        <f>AND(OR(AND(Z$27&lt;=Z$2,AA27&gt;=Z$2), AND(AB27&lt;=Z$2,AC27&gt;=Z$2), AND(AD27&lt;=Z$2,AE27&gt;=Z$2)), OR(AND(FOP7&lt;=G$2, H27&gt;=G$2),AND(I27&lt;=G$2,J27&gt;=G$2),AND(K27&lt;=G$2,L27&gt;=G$2)))</f>
        <v>1</v>
      </c>
      <c r="AO27" s="42" t="b">
        <f>AND(OR(AND(AG$27&lt;=Z$2,AH27&gt;=Z$2), AND(AI27&lt;=Z$2,AJ27&gt;=Z$2), AND(AK27&lt;=Z$2,AL27&gt;=Z$2)), OR(AND(G$27&lt;=G$2, H27&gt;=G$2),AND(I27&lt;=G$2,J27&gt;=G$2),AND(K27&lt;=G$2,L27&gt;=G$2)))</f>
        <v>1</v>
      </c>
    </row>
    <row r="28" spans="1:41" x14ac:dyDescent="0.35">
      <c r="A28" s="81"/>
      <c r="B28" s="22">
        <v>24</v>
      </c>
      <c r="C28" s="23" t="s">
        <v>71</v>
      </c>
      <c r="D28" s="23" t="s">
        <v>39</v>
      </c>
      <c r="E28" s="23" t="s">
        <v>58</v>
      </c>
      <c r="F28" s="26">
        <v>5500</v>
      </c>
      <c r="G28" s="24">
        <v>0.375</v>
      </c>
      <c r="H28" s="24">
        <v>0.66666666666666696</v>
      </c>
      <c r="I28" s="24"/>
      <c r="J28" s="24"/>
      <c r="K28" s="24"/>
      <c r="L28" s="24"/>
      <c r="M28" s="22" t="s">
        <v>43</v>
      </c>
      <c r="N28" s="25" t="s">
        <v>141</v>
      </c>
      <c r="O28" s="25" t="s">
        <v>141</v>
      </c>
      <c r="P28" s="25"/>
      <c r="Q28" s="25"/>
      <c r="R28" s="25"/>
      <c r="S28" s="25" t="s">
        <v>143</v>
      </c>
      <c r="T28" s="25" t="s">
        <v>143</v>
      </c>
      <c r="U28" s="25" t="s">
        <v>143</v>
      </c>
      <c r="V28" s="25"/>
      <c r="W28" s="25"/>
      <c r="X28" s="25"/>
      <c r="Y28" s="25" t="s">
        <v>141</v>
      </c>
      <c r="Z28" s="42">
        <v>6</v>
      </c>
      <c r="AA28" s="42">
        <v>8</v>
      </c>
      <c r="AB28" s="42"/>
      <c r="AC28" s="42"/>
      <c r="AD28" s="42"/>
      <c r="AE28" s="42"/>
      <c r="AF28" s="23" t="s">
        <v>67</v>
      </c>
      <c r="AG28" s="42">
        <v>12</v>
      </c>
      <c r="AH28" s="42">
        <v>12</v>
      </c>
      <c r="AI28" s="42">
        <v>1</v>
      </c>
      <c r="AJ28" s="42">
        <v>2</v>
      </c>
      <c r="AK28" s="42"/>
      <c r="AL28" s="42"/>
      <c r="AM28" s="42" t="b">
        <f t="shared" si="2"/>
        <v>0</v>
      </c>
      <c r="AN28" s="42" t="b">
        <f>AND(OR(AND(Z$28&lt;=Z$2,AA28&gt;=Z$2), AND(AB28&lt;=Z$2,AC28&gt;=Z$2), AND(AD28&lt;=Z$2,AE28&gt;=Z$2)), OR(AND(FOP8&lt;=G$2, H28&gt;=G$2),AND(I28&lt;=G$2,J28&gt;=G$2),AND(K28&lt;=G$2,L28&gt;=G$2)))</f>
        <v>0</v>
      </c>
      <c r="AO28" s="42" t="b">
        <f>AND(OR(AND(AG$28&lt;=Z$2,AH28&gt;=Z$2), AND(AI28&lt;=Z$2,AJ28&gt;=Z$2), AND(AK28&lt;=Z$2,AL28&gt;=Z$2)), OR(AND(G$28&lt;=G$2, H28&gt;=G$2),AND(I28&lt;=G$2,J28&gt;=G$2),AND(K28&lt;=G$2,L28&gt;=G$2)))</f>
        <v>0</v>
      </c>
    </row>
    <row r="29" spans="1:41" x14ac:dyDescent="0.35">
      <c r="A29" s="81"/>
      <c r="B29" s="22">
        <v>25</v>
      </c>
      <c r="C29" s="23" t="s">
        <v>73</v>
      </c>
      <c r="D29" s="23" t="s">
        <v>39</v>
      </c>
      <c r="E29" s="23" t="s">
        <v>46</v>
      </c>
      <c r="F29" s="22">
        <v>800</v>
      </c>
      <c r="G29" s="24">
        <v>0</v>
      </c>
      <c r="H29" s="24">
        <v>0.999305555555556</v>
      </c>
      <c r="I29" s="24"/>
      <c r="J29" s="24"/>
      <c r="K29" s="24"/>
      <c r="L29" s="24"/>
      <c r="M29" s="22" t="s">
        <v>41</v>
      </c>
      <c r="N29" s="25" t="s">
        <v>141</v>
      </c>
      <c r="O29" s="25" t="s">
        <v>141</v>
      </c>
      <c r="P29" s="25" t="s">
        <v>141</v>
      </c>
      <c r="Q29" s="25" t="s">
        <v>141</v>
      </c>
      <c r="R29" s="25"/>
      <c r="S29" s="25" t="s">
        <v>143</v>
      </c>
      <c r="T29" s="25" t="s">
        <v>143</v>
      </c>
      <c r="U29" s="25" t="s">
        <v>143</v>
      </c>
      <c r="V29" s="25" t="s">
        <v>143</v>
      </c>
      <c r="W29" s="25" t="s">
        <v>143</v>
      </c>
      <c r="X29" s="25"/>
      <c r="Y29" s="25" t="s">
        <v>141</v>
      </c>
      <c r="Z29" s="42">
        <v>6</v>
      </c>
      <c r="AA29" s="42">
        <v>10</v>
      </c>
      <c r="AB29" s="42"/>
      <c r="AC29" s="42"/>
      <c r="AD29" s="42"/>
      <c r="AE29" s="42"/>
      <c r="AF29" s="23" t="s">
        <v>70</v>
      </c>
      <c r="AG29" s="42">
        <v>12</v>
      </c>
      <c r="AH29" s="42">
        <v>12</v>
      </c>
      <c r="AI29" s="42">
        <v>1</v>
      </c>
      <c r="AJ29" s="42">
        <v>4</v>
      </c>
      <c r="AK29" s="42"/>
      <c r="AL29" s="42"/>
      <c r="AM29" s="42" t="b">
        <f t="shared" si="2"/>
        <v>0</v>
      </c>
      <c r="AN29" s="42" t="b">
        <f>AND(OR(AND(Z$29&lt;=Z$2,AA29&gt;=Z$2), AND(AB29&lt;=Z$2,AC29&gt;=Z$2), AND(AD29&lt;=Z$2,AE29&gt;=Z$2)), OR(AND(FOP9&lt;=G$2, H29&gt;=G$2),AND(I29&lt;=G$2,J29&gt;=G$2),AND(K29&lt;=G$2,L29&gt;=G$2)))</f>
        <v>0</v>
      </c>
      <c r="AO29" s="42" t="b">
        <f>AND(OR(AND(AG$29&lt;=Z$2,AH29&gt;=Z$2), AND(AI29&lt;=Z$2,AJ29&gt;=Z$2), AND(AK29&lt;=Z$2,AL29&gt;=Z$2)), OR(AND(G$29&lt;=G$2, H29&gt;=G$2),AND(I29&lt;=G$2,J29&gt;=G$2),AND(K29&lt;=G$2,L29&gt;=G$2)))</f>
        <v>0</v>
      </c>
    </row>
    <row r="30" spans="1:41" x14ac:dyDescent="0.35">
      <c r="A30" s="81"/>
      <c r="B30" s="22">
        <v>26</v>
      </c>
      <c r="C30" s="23" t="s">
        <v>14</v>
      </c>
      <c r="D30" s="23" t="s">
        <v>39</v>
      </c>
      <c r="E30" s="23" t="s">
        <v>116</v>
      </c>
      <c r="F30" s="44">
        <v>600</v>
      </c>
      <c r="G30" s="24">
        <v>0</v>
      </c>
      <c r="H30" s="24">
        <v>0.999305555555556</v>
      </c>
      <c r="I30" s="24"/>
      <c r="J30" s="24"/>
      <c r="K30" s="24"/>
      <c r="L30" s="24"/>
      <c r="M30" s="22" t="s">
        <v>41</v>
      </c>
      <c r="N30" s="25" t="s">
        <v>141</v>
      </c>
      <c r="O30" s="25" t="s">
        <v>141</v>
      </c>
      <c r="P30" s="25" t="s">
        <v>141</v>
      </c>
      <c r="Q30" s="25" t="s">
        <v>141</v>
      </c>
      <c r="R30" s="25"/>
      <c r="S30" s="25" t="s">
        <v>143</v>
      </c>
      <c r="T30" s="25" t="s">
        <v>143</v>
      </c>
      <c r="U30" s="25" t="s">
        <v>143</v>
      </c>
      <c r="V30" s="25" t="s">
        <v>143</v>
      </c>
      <c r="W30" s="25" t="s">
        <v>143</v>
      </c>
      <c r="X30" s="25"/>
      <c r="Y30" s="25" t="s">
        <v>141</v>
      </c>
      <c r="Z30" s="42">
        <v>6</v>
      </c>
      <c r="AA30" s="42">
        <v>10</v>
      </c>
      <c r="AB30" s="42"/>
      <c r="AC30" s="42"/>
      <c r="AD30" s="42"/>
      <c r="AE30" s="42"/>
      <c r="AF30" s="23" t="s">
        <v>70</v>
      </c>
      <c r="AG30" s="42">
        <v>12</v>
      </c>
      <c r="AH30" s="42">
        <v>12</v>
      </c>
      <c r="AI30" s="42">
        <v>1</v>
      </c>
      <c r="AJ30" s="42">
        <v>4</v>
      </c>
      <c r="AK30" s="42"/>
      <c r="AL30" s="42"/>
      <c r="AM30" s="42" t="b">
        <f t="shared" si="2"/>
        <v>0</v>
      </c>
      <c r="AN30" s="42" t="b">
        <f t="shared" ref="AN30:AN61" si="3">AND(OR(AND(Z30&lt;=Z$2,AA30&gt;=Z$2), AND(AB30&lt;=Z$2,AC30&gt;=Z$2), AND(AD30&lt;=Z$2,AE30&gt;=Z$2)), OR(AND(G30&lt;=G$2, H30&gt;=G$2),AND(I30&lt;=G$2,J30&gt;=G$2),AND(K30&lt;=G$2,L30&gt;=G$2)))</f>
        <v>0</v>
      </c>
      <c r="AO30" s="42" t="b">
        <f t="shared" ref="AO30:AO61" si="4">AND(OR(AND(AG30&lt;=Z$2,AH30&gt;=Z$2), AND(AI30&lt;=Z$2,AJ30&gt;=Z$2), AND(AK30&lt;=Z$2,AL30&gt;=Z$2)), OR(AND(G30&lt;=G$2, H30&gt;=G$2),AND(I30&lt;=G$2,J30&gt;=G$2),AND(K30&lt;=G$2,L30&gt;=G$2)))</f>
        <v>0</v>
      </c>
    </row>
    <row r="31" spans="1:41" x14ac:dyDescent="0.35">
      <c r="A31" s="81"/>
      <c r="B31" s="22">
        <v>27</v>
      </c>
      <c r="C31" s="23" t="s">
        <v>76</v>
      </c>
      <c r="D31" s="23" t="s">
        <v>77</v>
      </c>
      <c r="E31" s="23" t="s">
        <v>45</v>
      </c>
      <c r="F31" s="44">
        <v>2500</v>
      </c>
      <c r="G31" s="24">
        <v>0.375</v>
      </c>
      <c r="H31" s="24">
        <v>0.66666666666666696</v>
      </c>
      <c r="I31" s="24">
        <v>0.875</v>
      </c>
      <c r="J31" s="24">
        <v>0.99930555555555556</v>
      </c>
      <c r="K31" s="24">
        <v>0</v>
      </c>
      <c r="L31" s="24">
        <v>0.16666666666666666</v>
      </c>
      <c r="M31" s="22" t="s">
        <v>94</v>
      </c>
      <c r="N31" s="25" t="s">
        <v>141</v>
      </c>
      <c r="O31" s="25" t="s">
        <v>141</v>
      </c>
      <c r="P31" s="25" t="s">
        <v>141</v>
      </c>
      <c r="Q31" s="25"/>
      <c r="R31" s="25"/>
      <c r="S31" s="25" t="s">
        <v>143</v>
      </c>
      <c r="T31" s="25" t="s">
        <v>143</v>
      </c>
      <c r="U31" s="25" t="s">
        <v>143</v>
      </c>
      <c r="V31" s="25" t="s">
        <v>143</v>
      </c>
      <c r="W31" s="25"/>
      <c r="X31" s="25"/>
      <c r="Y31" s="25" t="s">
        <v>141</v>
      </c>
      <c r="Z31" s="42">
        <v>6</v>
      </c>
      <c r="AA31" s="42">
        <v>9</v>
      </c>
      <c r="AB31" s="42"/>
      <c r="AC31" s="42"/>
      <c r="AD31" s="42"/>
      <c r="AE31" s="42"/>
      <c r="AF31" s="23" t="s">
        <v>95</v>
      </c>
      <c r="AG31" s="42">
        <v>12</v>
      </c>
      <c r="AH31" s="42">
        <v>12</v>
      </c>
      <c r="AI31" s="42">
        <v>1</v>
      </c>
      <c r="AJ31" s="42">
        <v>3</v>
      </c>
      <c r="AK31" s="42"/>
      <c r="AL31" s="42"/>
      <c r="AM31" s="42" t="b">
        <f t="shared" si="2"/>
        <v>0</v>
      </c>
      <c r="AN31" s="42" t="b">
        <f t="shared" si="3"/>
        <v>0</v>
      </c>
      <c r="AO31" s="42" t="b">
        <f t="shared" si="4"/>
        <v>0</v>
      </c>
    </row>
    <row r="32" spans="1:41" x14ac:dyDescent="0.35">
      <c r="A32" s="81"/>
      <c r="B32" s="22">
        <v>28</v>
      </c>
      <c r="C32" s="23" t="s">
        <v>79</v>
      </c>
      <c r="D32" s="23" t="s">
        <v>77</v>
      </c>
      <c r="E32" s="23" t="s">
        <v>49</v>
      </c>
      <c r="F32" s="44">
        <v>10000</v>
      </c>
      <c r="G32" s="24">
        <v>0.66666666666666696</v>
      </c>
      <c r="H32" s="24">
        <v>0.999305555555556</v>
      </c>
      <c r="I32" s="24">
        <v>0</v>
      </c>
      <c r="J32" s="24">
        <v>0.375</v>
      </c>
      <c r="K32" s="24"/>
      <c r="L32" s="24"/>
      <c r="M32" s="22" t="s">
        <v>47</v>
      </c>
      <c r="N32" s="25" t="s">
        <v>141</v>
      </c>
      <c r="O32" s="25" t="s">
        <v>141</v>
      </c>
      <c r="P32" s="25" t="s">
        <v>141</v>
      </c>
      <c r="Q32" s="25"/>
      <c r="R32" s="25"/>
      <c r="S32" s="25" t="s">
        <v>143</v>
      </c>
      <c r="T32" s="25" t="s">
        <v>143</v>
      </c>
      <c r="U32" s="25" t="s">
        <v>143</v>
      </c>
      <c r="V32" s="25" t="s">
        <v>143</v>
      </c>
      <c r="W32" s="25"/>
      <c r="X32" s="25"/>
      <c r="Y32" s="25" t="s">
        <v>141</v>
      </c>
      <c r="Z32" s="42">
        <v>6</v>
      </c>
      <c r="AA32" s="42">
        <v>9</v>
      </c>
      <c r="AB32" s="42"/>
      <c r="AC32" s="42"/>
      <c r="AD32" s="42"/>
      <c r="AE32" s="42"/>
      <c r="AF32" s="23" t="s">
        <v>95</v>
      </c>
      <c r="AG32" s="42">
        <v>12</v>
      </c>
      <c r="AH32" s="42">
        <v>12</v>
      </c>
      <c r="AI32" s="42">
        <v>1</v>
      </c>
      <c r="AJ32" s="42">
        <v>3</v>
      </c>
      <c r="AK32" s="42"/>
      <c r="AL32" s="42"/>
      <c r="AM32" s="42" t="b">
        <f t="shared" si="2"/>
        <v>0</v>
      </c>
      <c r="AN32" s="42" t="b">
        <f t="shared" si="3"/>
        <v>0</v>
      </c>
      <c r="AO32" s="42" t="b">
        <f t="shared" si="4"/>
        <v>0</v>
      </c>
    </row>
    <row r="33" spans="1:41" x14ac:dyDescent="0.35">
      <c r="A33" s="81"/>
      <c r="B33" s="22">
        <v>29</v>
      </c>
      <c r="C33" s="23" t="s">
        <v>80</v>
      </c>
      <c r="D33" s="23" t="s">
        <v>77</v>
      </c>
      <c r="E33" s="23" t="s">
        <v>58</v>
      </c>
      <c r="F33" s="44">
        <v>15000</v>
      </c>
      <c r="G33" s="24">
        <v>0.16666666666666699</v>
      </c>
      <c r="H33" s="24">
        <v>0.875</v>
      </c>
      <c r="I33" s="24"/>
      <c r="J33" s="24"/>
      <c r="K33" s="24"/>
      <c r="L33" s="24"/>
      <c r="M33" s="22" t="s">
        <v>98</v>
      </c>
      <c r="N33" s="25" t="s">
        <v>141</v>
      </c>
      <c r="O33" s="25" t="s">
        <v>141</v>
      </c>
      <c r="P33" s="25" t="s">
        <v>141</v>
      </c>
      <c r="Q33" s="25"/>
      <c r="R33" s="25"/>
      <c r="S33" s="25" t="s">
        <v>143</v>
      </c>
      <c r="T33" s="25" t="s">
        <v>143</v>
      </c>
      <c r="U33" s="25" t="s">
        <v>143</v>
      </c>
      <c r="V33" s="25" t="s">
        <v>143</v>
      </c>
      <c r="W33" s="25"/>
      <c r="X33" s="25"/>
      <c r="Y33" s="25" t="s">
        <v>141</v>
      </c>
      <c r="Z33" s="42">
        <v>6</v>
      </c>
      <c r="AA33" s="42">
        <v>9</v>
      </c>
      <c r="AB33" s="42"/>
      <c r="AC33" s="42"/>
      <c r="AD33" s="42"/>
      <c r="AE33" s="42"/>
      <c r="AF33" s="23" t="s">
        <v>95</v>
      </c>
      <c r="AG33" s="42">
        <v>12</v>
      </c>
      <c r="AH33" s="42">
        <v>12</v>
      </c>
      <c r="AI33" s="42">
        <v>1</v>
      </c>
      <c r="AJ33" s="42">
        <v>3</v>
      </c>
      <c r="AK33" s="42"/>
      <c r="AL33" s="42"/>
      <c r="AM33" s="42" t="b">
        <f t="shared" si="2"/>
        <v>0</v>
      </c>
      <c r="AN33" s="42" t="b">
        <f t="shared" si="3"/>
        <v>0</v>
      </c>
      <c r="AO33" s="42" t="b">
        <f t="shared" si="4"/>
        <v>0</v>
      </c>
    </row>
    <row r="34" spans="1:41" x14ac:dyDescent="0.35">
      <c r="A34" s="81"/>
      <c r="B34" s="22">
        <v>30</v>
      </c>
      <c r="C34" s="23" t="s">
        <v>82</v>
      </c>
      <c r="D34" s="23" t="s">
        <v>77</v>
      </c>
      <c r="E34" s="23" t="s">
        <v>88</v>
      </c>
      <c r="F34" s="44">
        <v>6000</v>
      </c>
      <c r="G34" s="24">
        <v>0.66666666666666696</v>
      </c>
      <c r="H34" s="24">
        <v>0.999305555555556</v>
      </c>
      <c r="I34" s="24">
        <v>0</v>
      </c>
      <c r="J34" s="24">
        <v>0.375</v>
      </c>
      <c r="K34" s="24"/>
      <c r="L34" s="24"/>
      <c r="M34" s="22" t="s">
        <v>47</v>
      </c>
      <c r="N34" s="25" t="s">
        <v>141</v>
      </c>
      <c r="O34" s="25" t="s">
        <v>141</v>
      </c>
      <c r="P34" s="25" t="s">
        <v>141</v>
      </c>
      <c r="Q34" s="25"/>
      <c r="R34" s="25"/>
      <c r="S34" s="25" t="s">
        <v>143</v>
      </c>
      <c r="T34" s="25" t="s">
        <v>143</v>
      </c>
      <c r="U34" s="25" t="s">
        <v>143</v>
      </c>
      <c r="V34" s="25" t="s">
        <v>143</v>
      </c>
      <c r="W34" s="25"/>
      <c r="X34" s="25"/>
      <c r="Y34" s="25" t="s">
        <v>141</v>
      </c>
      <c r="Z34" s="42">
        <v>6</v>
      </c>
      <c r="AA34" s="42">
        <v>9</v>
      </c>
      <c r="AB34" s="42"/>
      <c r="AC34" s="42"/>
      <c r="AD34" s="42"/>
      <c r="AE34" s="42"/>
      <c r="AF34" s="23" t="s">
        <v>95</v>
      </c>
      <c r="AG34" s="42">
        <v>12</v>
      </c>
      <c r="AH34" s="42">
        <v>12</v>
      </c>
      <c r="AI34" s="42">
        <v>1</v>
      </c>
      <c r="AJ34" s="42">
        <v>3</v>
      </c>
      <c r="AK34" s="42"/>
      <c r="AL34" s="42"/>
      <c r="AM34" s="42" t="b">
        <f t="shared" si="2"/>
        <v>0</v>
      </c>
      <c r="AN34" s="42" t="b">
        <f t="shared" si="3"/>
        <v>0</v>
      </c>
      <c r="AO34" s="42" t="b">
        <f t="shared" si="4"/>
        <v>0</v>
      </c>
    </row>
    <row r="35" spans="1:41" x14ac:dyDescent="0.35">
      <c r="A35" s="81"/>
      <c r="B35" s="22">
        <v>31</v>
      </c>
      <c r="C35" s="23" t="s">
        <v>84</v>
      </c>
      <c r="D35" s="23" t="s">
        <v>85</v>
      </c>
      <c r="E35" s="23" t="s">
        <v>88</v>
      </c>
      <c r="F35" s="44">
        <v>10000</v>
      </c>
      <c r="G35" s="24">
        <v>0.66666666666666696</v>
      </c>
      <c r="H35" s="24">
        <v>0.999305555555556</v>
      </c>
      <c r="I35" s="24">
        <v>0</v>
      </c>
      <c r="J35" s="24">
        <v>0.375</v>
      </c>
      <c r="K35" s="24"/>
      <c r="L35" s="24"/>
      <c r="M35" s="22" t="s">
        <v>47</v>
      </c>
      <c r="N35" s="25" t="s">
        <v>141</v>
      </c>
      <c r="O35" s="25" t="s">
        <v>141</v>
      </c>
      <c r="P35" s="25" t="s">
        <v>141</v>
      </c>
      <c r="Q35" s="25"/>
      <c r="R35" s="25"/>
      <c r="S35" s="25" t="s">
        <v>143</v>
      </c>
      <c r="T35" s="25" t="s">
        <v>143</v>
      </c>
      <c r="U35" s="25" t="s">
        <v>143</v>
      </c>
      <c r="V35" s="25" t="s">
        <v>143</v>
      </c>
      <c r="W35" s="25"/>
      <c r="X35" s="25"/>
      <c r="Y35" s="25" t="s">
        <v>141</v>
      </c>
      <c r="Z35" s="42">
        <v>6</v>
      </c>
      <c r="AA35" s="42">
        <v>9</v>
      </c>
      <c r="AB35" s="42"/>
      <c r="AC35" s="42"/>
      <c r="AD35" s="42"/>
      <c r="AE35" s="42"/>
      <c r="AF35" s="23" t="s">
        <v>95</v>
      </c>
      <c r="AG35" s="42">
        <v>12</v>
      </c>
      <c r="AH35" s="42">
        <v>12</v>
      </c>
      <c r="AI35" s="42">
        <v>1</v>
      </c>
      <c r="AJ35" s="42">
        <v>3</v>
      </c>
      <c r="AK35" s="42"/>
      <c r="AL35" s="42"/>
      <c r="AM35" s="42" t="b">
        <f t="shared" si="2"/>
        <v>0</v>
      </c>
      <c r="AN35" s="42" t="b">
        <f t="shared" si="3"/>
        <v>0</v>
      </c>
      <c r="AO35" s="42" t="b">
        <f t="shared" si="4"/>
        <v>0</v>
      </c>
    </row>
    <row r="36" spans="1:41" x14ac:dyDescent="0.35">
      <c r="A36" s="81"/>
      <c r="B36" s="22">
        <v>32</v>
      </c>
      <c r="C36" s="23" t="s">
        <v>87</v>
      </c>
      <c r="D36" s="23" t="s">
        <v>85</v>
      </c>
      <c r="E36" s="23" t="s">
        <v>49</v>
      </c>
      <c r="F36" s="44">
        <v>4000</v>
      </c>
      <c r="G36" s="24">
        <v>0.875</v>
      </c>
      <c r="H36" s="24">
        <v>0.99930555555555556</v>
      </c>
      <c r="I36" s="24">
        <v>0</v>
      </c>
      <c r="J36" s="24">
        <v>0.16666666666666666</v>
      </c>
      <c r="K36" s="24"/>
      <c r="L36" s="24"/>
      <c r="M36" s="22" t="s">
        <v>59</v>
      </c>
      <c r="N36" s="25" t="s">
        <v>141</v>
      </c>
      <c r="O36" s="25" t="s">
        <v>141</v>
      </c>
      <c r="P36" s="25" t="s">
        <v>141</v>
      </c>
      <c r="Q36" s="25"/>
      <c r="R36" s="25"/>
      <c r="S36" s="25" t="s">
        <v>143</v>
      </c>
      <c r="T36" s="25" t="s">
        <v>143</v>
      </c>
      <c r="U36" s="25" t="s">
        <v>143</v>
      </c>
      <c r="V36" s="25" t="s">
        <v>143</v>
      </c>
      <c r="W36" s="25"/>
      <c r="X36" s="25"/>
      <c r="Y36" s="25" t="s">
        <v>141</v>
      </c>
      <c r="Z36" s="42">
        <v>6</v>
      </c>
      <c r="AA36" s="42">
        <v>9</v>
      </c>
      <c r="AB36" s="42"/>
      <c r="AC36" s="42"/>
      <c r="AD36" s="42"/>
      <c r="AE36" s="42"/>
      <c r="AF36" s="23" t="s">
        <v>95</v>
      </c>
      <c r="AG36" s="42">
        <v>12</v>
      </c>
      <c r="AH36" s="42">
        <v>12</v>
      </c>
      <c r="AI36" s="42">
        <v>1</v>
      </c>
      <c r="AJ36" s="42">
        <v>3</v>
      </c>
      <c r="AK36" s="42"/>
      <c r="AL36" s="42"/>
      <c r="AM36" s="42" t="b">
        <f t="shared" si="2"/>
        <v>0</v>
      </c>
      <c r="AN36" s="42" t="b">
        <f t="shared" si="3"/>
        <v>0</v>
      </c>
      <c r="AO36" s="42" t="b">
        <f t="shared" si="4"/>
        <v>0</v>
      </c>
    </row>
    <row r="37" spans="1:41" x14ac:dyDescent="0.35">
      <c r="A37" s="81"/>
      <c r="B37" s="22">
        <v>33</v>
      </c>
      <c r="C37" s="23" t="s">
        <v>89</v>
      </c>
      <c r="D37" s="23" t="s">
        <v>39</v>
      </c>
      <c r="E37" s="23" t="s">
        <v>126</v>
      </c>
      <c r="F37" s="44">
        <v>12000</v>
      </c>
      <c r="G37" s="24">
        <v>0.66666666666666696</v>
      </c>
      <c r="H37" s="24">
        <v>0.999305555555556</v>
      </c>
      <c r="I37" s="24">
        <v>0</v>
      </c>
      <c r="J37" s="24">
        <v>0.375</v>
      </c>
      <c r="K37" s="24"/>
      <c r="L37" s="24"/>
      <c r="M37" s="22" t="s">
        <v>47</v>
      </c>
      <c r="N37" s="25" t="s">
        <v>141</v>
      </c>
      <c r="O37" s="25" t="s">
        <v>141</v>
      </c>
      <c r="P37" s="25" t="s">
        <v>141</v>
      </c>
      <c r="Q37" s="25"/>
      <c r="R37" s="25"/>
      <c r="S37" s="25" t="s">
        <v>143</v>
      </c>
      <c r="T37" s="25" t="s">
        <v>143</v>
      </c>
      <c r="U37" s="25" t="s">
        <v>143</v>
      </c>
      <c r="V37" s="25" t="s">
        <v>143</v>
      </c>
      <c r="W37" s="25"/>
      <c r="X37" s="25"/>
      <c r="Y37" s="25" t="s">
        <v>141</v>
      </c>
      <c r="Z37" s="42">
        <v>6</v>
      </c>
      <c r="AA37" s="42">
        <v>9</v>
      </c>
      <c r="AB37" s="42"/>
      <c r="AC37" s="42"/>
      <c r="AD37" s="42"/>
      <c r="AE37" s="42"/>
      <c r="AF37" s="23" t="s">
        <v>95</v>
      </c>
      <c r="AG37" s="42">
        <v>12</v>
      </c>
      <c r="AH37" s="42">
        <v>12</v>
      </c>
      <c r="AI37" s="42">
        <v>1</v>
      </c>
      <c r="AJ37" s="42">
        <v>3</v>
      </c>
      <c r="AK37" s="42"/>
      <c r="AL37" s="42"/>
      <c r="AM37" s="42" t="b">
        <f t="shared" si="2"/>
        <v>0</v>
      </c>
      <c r="AN37" s="42" t="b">
        <f t="shared" si="3"/>
        <v>0</v>
      </c>
      <c r="AO37" s="42" t="b">
        <f t="shared" si="4"/>
        <v>0</v>
      </c>
    </row>
    <row r="38" spans="1:41" x14ac:dyDescent="0.35">
      <c r="A38" s="81"/>
      <c r="B38" s="22">
        <v>34</v>
      </c>
      <c r="C38" s="23" t="s">
        <v>15</v>
      </c>
      <c r="D38" s="23" t="s">
        <v>39</v>
      </c>
      <c r="E38" s="23" t="s">
        <v>126</v>
      </c>
      <c r="F38" s="44">
        <v>8000</v>
      </c>
      <c r="G38" s="24">
        <v>0.66666666666666696</v>
      </c>
      <c r="H38" s="24">
        <v>0.999305555555556</v>
      </c>
      <c r="I38" s="24">
        <v>0</v>
      </c>
      <c r="J38" s="24">
        <v>0.375</v>
      </c>
      <c r="K38" s="24"/>
      <c r="L38" s="24"/>
      <c r="M38" s="22" t="s">
        <v>47</v>
      </c>
      <c r="N38" s="25" t="s">
        <v>141</v>
      </c>
      <c r="O38" s="25" t="s">
        <v>141</v>
      </c>
      <c r="P38" s="25" t="s">
        <v>141</v>
      </c>
      <c r="Q38" s="25"/>
      <c r="R38" s="25"/>
      <c r="S38" s="25" t="s">
        <v>143</v>
      </c>
      <c r="T38" s="25" t="s">
        <v>143</v>
      </c>
      <c r="U38" s="25" t="s">
        <v>143</v>
      </c>
      <c r="V38" s="25" t="s">
        <v>143</v>
      </c>
      <c r="W38" s="25"/>
      <c r="X38" s="25"/>
      <c r="Y38" s="25" t="s">
        <v>141</v>
      </c>
      <c r="Z38" s="42">
        <v>6</v>
      </c>
      <c r="AA38" s="42">
        <v>9</v>
      </c>
      <c r="AB38" s="42"/>
      <c r="AC38" s="42"/>
      <c r="AD38" s="42"/>
      <c r="AE38" s="42"/>
      <c r="AF38" s="23" t="s">
        <v>95</v>
      </c>
      <c r="AG38" s="42">
        <v>12</v>
      </c>
      <c r="AH38" s="42">
        <v>12</v>
      </c>
      <c r="AI38" s="42">
        <v>1</v>
      </c>
      <c r="AJ38" s="42">
        <v>3</v>
      </c>
      <c r="AK38" s="42"/>
      <c r="AL38" s="42"/>
      <c r="AM38" s="42" t="b">
        <f t="shared" si="2"/>
        <v>0</v>
      </c>
      <c r="AN38" s="42" t="b">
        <f t="shared" si="3"/>
        <v>0</v>
      </c>
      <c r="AO38" s="42" t="b">
        <f t="shared" si="4"/>
        <v>0</v>
      </c>
    </row>
    <row r="39" spans="1:41" x14ac:dyDescent="0.35">
      <c r="A39" s="81"/>
      <c r="B39" s="22">
        <v>35</v>
      </c>
      <c r="C39" s="23" t="s">
        <v>16</v>
      </c>
      <c r="D39" s="23" t="s">
        <v>39</v>
      </c>
      <c r="E39" s="23" t="s">
        <v>126</v>
      </c>
      <c r="F39" s="44">
        <v>15000</v>
      </c>
      <c r="G39" s="24">
        <v>0.66666666666666696</v>
      </c>
      <c r="H39" s="24">
        <v>0.999305555555556</v>
      </c>
      <c r="I39" s="24">
        <v>0</v>
      </c>
      <c r="J39" s="24">
        <v>0.375</v>
      </c>
      <c r="K39" s="24"/>
      <c r="L39" s="24"/>
      <c r="M39" s="22" t="s">
        <v>47</v>
      </c>
      <c r="N39" s="25" t="s">
        <v>141</v>
      </c>
      <c r="O39" s="25" t="s">
        <v>141</v>
      </c>
      <c r="P39" s="25" t="s">
        <v>141</v>
      </c>
      <c r="Q39" s="25"/>
      <c r="R39" s="25"/>
      <c r="S39" s="25" t="s">
        <v>143</v>
      </c>
      <c r="T39" s="25" t="s">
        <v>143</v>
      </c>
      <c r="U39" s="25" t="s">
        <v>143</v>
      </c>
      <c r="V39" s="25" t="s">
        <v>143</v>
      </c>
      <c r="W39" s="25"/>
      <c r="X39" s="25"/>
      <c r="Y39" s="25" t="s">
        <v>141</v>
      </c>
      <c r="Z39" s="42">
        <v>6</v>
      </c>
      <c r="AA39" s="42">
        <v>9</v>
      </c>
      <c r="AB39" s="42"/>
      <c r="AC39" s="42"/>
      <c r="AD39" s="42"/>
      <c r="AE39" s="42"/>
      <c r="AF39" s="23" t="s">
        <v>95</v>
      </c>
      <c r="AG39" s="42">
        <v>12</v>
      </c>
      <c r="AH39" s="42">
        <v>12</v>
      </c>
      <c r="AI39" s="42">
        <v>1</v>
      </c>
      <c r="AJ39" s="42">
        <v>3</v>
      </c>
      <c r="AK39" s="42"/>
      <c r="AL39" s="42"/>
      <c r="AM39" s="42" t="b">
        <f t="shared" si="2"/>
        <v>0</v>
      </c>
      <c r="AN39" s="42" t="b">
        <f t="shared" si="3"/>
        <v>0</v>
      </c>
      <c r="AO39" s="42" t="b">
        <f t="shared" si="4"/>
        <v>0</v>
      </c>
    </row>
    <row r="40" spans="1:41" x14ac:dyDescent="0.35">
      <c r="A40" s="81"/>
      <c r="B40" s="22">
        <v>36</v>
      </c>
      <c r="C40" s="23" t="s">
        <v>17</v>
      </c>
      <c r="D40" s="23" t="s">
        <v>39</v>
      </c>
      <c r="E40" s="23" t="s">
        <v>126</v>
      </c>
      <c r="F40" s="44">
        <v>13000</v>
      </c>
      <c r="G40" s="24">
        <v>0</v>
      </c>
      <c r="H40" s="24">
        <v>0.999305555555556</v>
      </c>
      <c r="I40" s="24"/>
      <c r="J40" s="24"/>
      <c r="K40" s="24"/>
      <c r="L40" s="24"/>
      <c r="M40" s="22" t="s">
        <v>41</v>
      </c>
      <c r="N40" s="25" t="s">
        <v>141</v>
      </c>
      <c r="O40" s="25" t="s">
        <v>141</v>
      </c>
      <c r="P40" s="25" t="s">
        <v>141</v>
      </c>
      <c r="Q40" s="25"/>
      <c r="R40" s="25"/>
      <c r="S40" s="25" t="s">
        <v>143</v>
      </c>
      <c r="T40" s="25" t="s">
        <v>143</v>
      </c>
      <c r="U40" s="25" t="s">
        <v>143</v>
      </c>
      <c r="V40" s="25" t="s">
        <v>143</v>
      </c>
      <c r="W40" s="25"/>
      <c r="X40" s="25"/>
      <c r="Y40" s="25" t="s">
        <v>141</v>
      </c>
      <c r="Z40" s="42">
        <v>6</v>
      </c>
      <c r="AA40" s="42">
        <v>9</v>
      </c>
      <c r="AB40" s="42"/>
      <c r="AC40" s="42"/>
      <c r="AD40" s="42"/>
      <c r="AE40" s="42"/>
      <c r="AF40" s="23" t="s">
        <v>95</v>
      </c>
      <c r="AG40" s="42">
        <v>12</v>
      </c>
      <c r="AH40" s="42">
        <v>12</v>
      </c>
      <c r="AI40" s="42">
        <v>1</v>
      </c>
      <c r="AJ40" s="42">
        <v>3</v>
      </c>
      <c r="AK40" s="42"/>
      <c r="AL40" s="42"/>
      <c r="AM40" s="42" t="b">
        <f t="shared" si="2"/>
        <v>0</v>
      </c>
      <c r="AN40" s="42" t="b">
        <f t="shared" si="3"/>
        <v>0</v>
      </c>
      <c r="AO40" s="42" t="b">
        <f t="shared" si="4"/>
        <v>0</v>
      </c>
    </row>
    <row r="41" spans="1:41" x14ac:dyDescent="0.35">
      <c r="A41" s="81"/>
      <c r="B41" s="22">
        <v>37</v>
      </c>
      <c r="C41" s="23" t="s">
        <v>18</v>
      </c>
      <c r="D41" s="23" t="s">
        <v>39</v>
      </c>
      <c r="E41" s="23" t="s">
        <v>130</v>
      </c>
      <c r="F41" s="44">
        <v>1500</v>
      </c>
      <c r="G41" s="24">
        <v>0</v>
      </c>
      <c r="H41" s="24">
        <v>0.999305555555556</v>
      </c>
      <c r="I41" s="24"/>
      <c r="J41" s="24"/>
      <c r="K41" s="24"/>
      <c r="L41" s="24"/>
      <c r="M41" s="22" t="s">
        <v>41</v>
      </c>
      <c r="N41" s="25" t="s">
        <v>141</v>
      </c>
      <c r="O41" s="25" t="s">
        <v>141</v>
      </c>
      <c r="P41" s="25" t="s">
        <v>141</v>
      </c>
      <c r="Q41" s="25"/>
      <c r="R41" s="25"/>
      <c r="S41" s="25" t="s">
        <v>143</v>
      </c>
      <c r="T41" s="25" t="s">
        <v>143</v>
      </c>
      <c r="U41" s="25" t="s">
        <v>143</v>
      </c>
      <c r="V41" s="25" t="s">
        <v>143</v>
      </c>
      <c r="W41" s="25"/>
      <c r="X41" s="25"/>
      <c r="Y41" s="25" t="s">
        <v>141</v>
      </c>
      <c r="Z41" s="42">
        <v>6</v>
      </c>
      <c r="AA41" s="42">
        <v>9</v>
      </c>
      <c r="AB41" s="42"/>
      <c r="AC41" s="42"/>
      <c r="AD41" s="42"/>
      <c r="AE41" s="42"/>
      <c r="AF41" s="23" t="s">
        <v>95</v>
      </c>
      <c r="AG41" s="42">
        <v>12</v>
      </c>
      <c r="AH41" s="42">
        <v>12</v>
      </c>
      <c r="AI41" s="42">
        <v>1</v>
      </c>
      <c r="AJ41" s="42">
        <v>3</v>
      </c>
      <c r="AK41" s="42"/>
      <c r="AL41" s="42"/>
      <c r="AM41" s="42" t="b">
        <f t="shared" si="2"/>
        <v>0</v>
      </c>
      <c r="AN41" s="42" t="b">
        <f t="shared" si="3"/>
        <v>0</v>
      </c>
      <c r="AO41" s="42" t="b">
        <f t="shared" si="4"/>
        <v>0</v>
      </c>
    </row>
    <row r="42" spans="1:41" x14ac:dyDescent="0.35">
      <c r="A42" s="81"/>
      <c r="B42" s="22">
        <v>38</v>
      </c>
      <c r="C42" s="23" t="s">
        <v>19</v>
      </c>
      <c r="D42" s="23" t="s">
        <v>39</v>
      </c>
      <c r="E42" s="23" t="s">
        <v>40</v>
      </c>
      <c r="F42" s="22">
        <v>100</v>
      </c>
      <c r="G42" s="24">
        <v>0</v>
      </c>
      <c r="H42" s="24">
        <v>0.999305555555556</v>
      </c>
      <c r="I42" s="24"/>
      <c r="J42" s="24"/>
      <c r="K42" s="24"/>
      <c r="L42" s="24"/>
      <c r="M42" s="22" t="s">
        <v>41</v>
      </c>
      <c r="N42" s="25" t="s">
        <v>141</v>
      </c>
      <c r="O42" s="25"/>
      <c r="P42" s="25"/>
      <c r="Q42" s="25"/>
      <c r="R42" s="25" t="s">
        <v>143</v>
      </c>
      <c r="S42" s="25" t="s">
        <v>143</v>
      </c>
      <c r="T42" s="25" t="s">
        <v>143</v>
      </c>
      <c r="U42" s="25"/>
      <c r="V42" s="25" t="s">
        <v>141</v>
      </c>
      <c r="W42" s="25" t="s">
        <v>141</v>
      </c>
      <c r="X42" s="25" t="s">
        <v>141</v>
      </c>
      <c r="Y42" s="25" t="s">
        <v>141</v>
      </c>
      <c r="Z42" s="42">
        <v>3</v>
      </c>
      <c r="AA42" s="42">
        <v>7</v>
      </c>
      <c r="AB42" s="42"/>
      <c r="AC42" s="42"/>
      <c r="AD42" s="42"/>
      <c r="AE42" s="42"/>
      <c r="AF42" s="23" t="s">
        <v>61</v>
      </c>
      <c r="AG42" s="42">
        <v>9</v>
      </c>
      <c r="AH42" s="42">
        <v>12</v>
      </c>
      <c r="AI42" s="42">
        <v>1</v>
      </c>
      <c r="AJ42" s="42">
        <v>1</v>
      </c>
      <c r="AK42" s="42"/>
      <c r="AL42" s="42"/>
      <c r="AM42" s="42" t="b">
        <f t="shared" si="2"/>
        <v>0</v>
      </c>
      <c r="AN42" s="42" t="b">
        <f t="shared" si="3"/>
        <v>0</v>
      </c>
      <c r="AO42" s="42" t="b">
        <f t="shared" si="4"/>
        <v>1</v>
      </c>
    </row>
    <row r="43" spans="1:41" x14ac:dyDescent="0.35">
      <c r="A43" s="81"/>
      <c r="B43" s="22">
        <v>39</v>
      </c>
      <c r="C43" s="23" t="s">
        <v>20</v>
      </c>
      <c r="D43" s="23" t="s">
        <v>39</v>
      </c>
      <c r="E43" s="23" t="s">
        <v>46</v>
      </c>
      <c r="F43" s="26">
        <v>1000</v>
      </c>
      <c r="G43" s="24">
        <v>0.66666666666666696</v>
      </c>
      <c r="H43" s="24">
        <v>0.999305555555556</v>
      </c>
      <c r="I43" s="24">
        <v>0</v>
      </c>
      <c r="J43" s="24">
        <v>0.375</v>
      </c>
      <c r="K43" s="24"/>
      <c r="L43" s="24"/>
      <c r="M43" s="22" t="s">
        <v>47</v>
      </c>
      <c r="N43" s="25"/>
      <c r="O43" s="25"/>
      <c r="P43" s="25" t="s">
        <v>152</v>
      </c>
      <c r="Q43" s="25" t="s">
        <v>152</v>
      </c>
      <c r="R43" s="25" t="s">
        <v>152</v>
      </c>
      <c r="S43" s="25" t="s">
        <v>143</v>
      </c>
      <c r="T43" s="25"/>
      <c r="U43" s="25"/>
      <c r="V43" s="25" t="s">
        <v>152</v>
      </c>
      <c r="W43" s="25" t="s">
        <v>152</v>
      </c>
      <c r="X43" s="25" t="s">
        <v>152</v>
      </c>
      <c r="Y43" s="25" t="s">
        <v>141</v>
      </c>
      <c r="Z43" s="42">
        <v>3</v>
      </c>
      <c r="AA43" s="42">
        <v>6</v>
      </c>
      <c r="AB43" s="42">
        <v>9</v>
      </c>
      <c r="AC43" s="42">
        <v>11</v>
      </c>
      <c r="AD43" s="42"/>
      <c r="AE43" s="42"/>
      <c r="AF43" s="23" t="s">
        <v>78</v>
      </c>
      <c r="AG43" s="42">
        <v>3</v>
      </c>
      <c r="AH43" s="42">
        <v>5</v>
      </c>
      <c r="AI43" s="42">
        <v>9</v>
      </c>
      <c r="AJ43" s="42">
        <v>12</v>
      </c>
      <c r="AK43" s="42"/>
      <c r="AL43" s="42"/>
      <c r="AM43" s="42" t="b">
        <f t="shared" si="2"/>
        <v>0</v>
      </c>
      <c r="AN43" s="42" t="b">
        <f t="shared" si="3"/>
        <v>0</v>
      </c>
      <c r="AO43" s="42" t="b">
        <f t="shared" si="4"/>
        <v>0</v>
      </c>
    </row>
    <row r="44" spans="1:41" x14ac:dyDescent="0.35">
      <c r="A44" s="81"/>
      <c r="B44" s="22">
        <v>40</v>
      </c>
      <c r="C44" s="23" t="s">
        <v>93</v>
      </c>
      <c r="D44" s="23" t="s">
        <v>39</v>
      </c>
      <c r="E44" s="23" t="s">
        <v>46</v>
      </c>
      <c r="F44" s="26">
        <v>3800</v>
      </c>
      <c r="G44" s="24">
        <v>0.66666666666666696</v>
      </c>
      <c r="H44" s="24">
        <v>0.999305555555556</v>
      </c>
      <c r="I44" s="24">
        <v>0</v>
      </c>
      <c r="J44" s="24">
        <v>0.375</v>
      </c>
      <c r="K44" s="24"/>
      <c r="L44" s="24"/>
      <c r="M44" s="22" t="s">
        <v>47</v>
      </c>
      <c r="N44" s="25"/>
      <c r="O44" s="25"/>
      <c r="P44" s="25" t="s">
        <v>152</v>
      </c>
      <c r="Q44" s="25" t="s">
        <v>152</v>
      </c>
      <c r="R44" s="25" t="s">
        <v>152</v>
      </c>
      <c r="S44" s="25" t="s">
        <v>143</v>
      </c>
      <c r="T44" s="25"/>
      <c r="U44" s="25"/>
      <c r="V44" s="25" t="s">
        <v>152</v>
      </c>
      <c r="W44" s="25" t="s">
        <v>152</v>
      </c>
      <c r="X44" s="25" t="s">
        <v>152</v>
      </c>
      <c r="Y44" s="25" t="s">
        <v>141</v>
      </c>
      <c r="Z44" s="42">
        <v>3</v>
      </c>
      <c r="AA44" s="42">
        <v>6</v>
      </c>
      <c r="AB44" s="42">
        <v>9</v>
      </c>
      <c r="AC44" s="42">
        <v>11</v>
      </c>
      <c r="AD44" s="42"/>
      <c r="AE44" s="42"/>
      <c r="AF44" s="23" t="s">
        <v>78</v>
      </c>
      <c r="AG44" s="42">
        <v>3</v>
      </c>
      <c r="AH44" s="42">
        <v>5</v>
      </c>
      <c r="AI44" s="42">
        <v>9</v>
      </c>
      <c r="AJ44" s="42">
        <v>12</v>
      </c>
      <c r="AK44" s="42"/>
      <c r="AL44" s="42"/>
      <c r="AM44" s="42" t="b">
        <f t="shared" si="2"/>
        <v>0</v>
      </c>
      <c r="AN44" s="42" t="b">
        <f t="shared" si="3"/>
        <v>0</v>
      </c>
      <c r="AO44" s="42" t="b">
        <f t="shared" si="4"/>
        <v>0</v>
      </c>
    </row>
    <row r="45" spans="1:41" x14ac:dyDescent="0.35">
      <c r="A45" s="81"/>
      <c r="B45" s="22">
        <v>41</v>
      </c>
      <c r="C45" s="23" t="s">
        <v>96</v>
      </c>
      <c r="D45" s="23" t="s">
        <v>39</v>
      </c>
      <c r="E45" s="23" t="s">
        <v>45</v>
      </c>
      <c r="F45" s="22">
        <v>400</v>
      </c>
      <c r="G45" s="24">
        <v>0</v>
      </c>
      <c r="H45" s="24">
        <v>0.999305555555556</v>
      </c>
      <c r="I45" s="24"/>
      <c r="J45" s="24"/>
      <c r="K45" s="24"/>
      <c r="L45" s="24"/>
      <c r="M45" s="22" t="s">
        <v>41</v>
      </c>
      <c r="N45" s="25"/>
      <c r="O45" s="25"/>
      <c r="P45" s="25" t="s">
        <v>143</v>
      </c>
      <c r="Q45" s="25" t="s">
        <v>143</v>
      </c>
      <c r="R45" s="25" t="s">
        <v>143</v>
      </c>
      <c r="S45" s="25"/>
      <c r="T45" s="25"/>
      <c r="U45" s="25"/>
      <c r="V45" s="25" t="s">
        <v>141</v>
      </c>
      <c r="W45" s="25" t="s">
        <v>141</v>
      </c>
      <c r="X45" s="25" t="s">
        <v>141</v>
      </c>
      <c r="Y45" s="25"/>
      <c r="Z45" s="42">
        <v>3</v>
      </c>
      <c r="AA45" s="42">
        <v>5</v>
      </c>
      <c r="AB45" s="42"/>
      <c r="AC45" s="42"/>
      <c r="AD45" s="42"/>
      <c r="AE45" s="42"/>
      <c r="AF45" s="23" t="s">
        <v>65</v>
      </c>
      <c r="AG45" s="42">
        <v>9</v>
      </c>
      <c r="AH45" s="42">
        <v>11</v>
      </c>
      <c r="AI45" s="42"/>
      <c r="AJ45" s="42"/>
      <c r="AK45" s="42"/>
      <c r="AL45" s="42"/>
      <c r="AM45" s="42" t="b">
        <f t="shared" si="2"/>
        <v>0</v>
      </c>
      <c r="AN45" s="42" t="b">
        <f t="shared" si="3"/>
        <v>0</v>
      </c>
      <c r="AO45" s="42" t="b">
        <f t="shared" si="4"/>
        <v>1</v>
      </c>
    </row>
    <row r="46" spans="1:41" x14ac:dyDescent="0.35">
      <c r="A46" s="81"/>
      <c r="B46" s="22">
        <v>42</v>
      </c>
      <c r="C46" s="23" t="s">
        <v>97</v>
      </c>
      <c r="D46" s="23" t="s">
        <v>39</v>
      </c>
      <c r="E46" s="23" t="s">
        <v>46</v>
      </c>
      <c r="F46" s="26">
        <v>15000</v>
      </c>
      <c r="G46" s="24">
        <v>0.66666666666666696</v>
      </c>
      <c r="H46" s="24">
        <v>0.999305555555556</v>
      </c>
      <c r="I46" s="24">
        <v>0</v>
      </c>
      <c r="J46" s="24">
        <v>0.375</v>
      </c>
      <c r="K46" s="24"/>
      <c r="L46" s="24"/>
      <c r="M46" s="22" t="s">
        <v>47</v>
      </c>
      <c r="N46" s="25"/>
      <c r="O46" s="25"/>
      <c r="P46" s="25" t="s">
        <v>152</v>
      </c>
      <c r="Q46" s="25" t="s">
        <v>152</v>
      </c>
      <c r="R46" s="25" t="s">
        <v>152</v>
      </c>
      <c r="S46" s="25"/>
      <c r="T46" s="25"/>
      <c r="U46" s="25"/>
      <c r="V46" s="25" t="s">
        <v>152</v>
      </c>
      <c r="W46" s="25" t="s">
        <v>152</v>
      </c>
      <c r="X46" s="25" t="s">
        <v>152</v>
      </c>
      <c r="Y46" s="25"/>
      <c r="Z46" s="42">
        <v>3</v>
      </c>
      <c r="AA46" s="42">
        <v>5</v>
      </c>
      <c r="AB46" s="42">
        <v>9</v>
      </c>
      <c r="AC46" s="42">
        <v>11</v>
      </c>
      <c r="AD46" s="42"/>
      <c r="AE46" s="42"/>
      <c r="AF46" s="23" t="s">
        <v>81</v>
      </c>
      <c r="AG46" s="42">
        <v>3</v>
      </c>
      <c r="AH46" s="42">
        <v>5</v>
      </c>
      <c r="AI46" s="42">
        <v>9</v>
      </c>
      <c r="AJ46" s="42">
        <v>11</v>
      </c>
      <c r="AK46" s="42"/>
      <c r="AL46" s="42"/>
      <c r="AM46" s="42" t="b">
        <f t="shared" si="2"/>
        <v>0</v>
      </c>
      <c r="AN46" s="42" t="b">
        <f t="shared" si="3"/>
        <v>0</v>
      </c>
      <c r="AO46" s="42" t="b">
        <f t="shared" si="4"/>
        <v>0</v>
      </c>
    </row>
    <row r="47" spans="1:41" x14ac:dyDescent="0.35">
      <c r="A47" s="81"/>
      <c r="B47" s="22">
        <v>43</v>
      </c>
      <c r="C47" s="23" t="s">
        <v>99</v>
      </c>
      <c r="D47" s="23" t="s">
        <v>48</v>
      </c>
      <c r="E47" s="23" t="s">
        <v>46</v>
      </c>
      <c r="F47" s="44">
        <v>5000</v>
      </c>
      <c r="G47" s="24">
        <v>0</v>
      </c>
      <c r="H47" s="24">
        <v>0.999305555555556</v>
      </c>
      <c r="I47" s="24"/>
      <c r="J47" s="24"/>
      <c r="K47" s="24"/>
      <c r="L47" s="24"/>
      <c r="M47" s="22" t="s">
        <v>41</v>
      </c>
      <c r="N47" s="25" t="s">
        <v>141</v>
      </c>
      <c r="O47" s="25" t="s">
        <v>141</v>
      </c>
      <c r="P47" s="25" t="s">
        <v>152</v>
      </c>
      <c r="Q47" s="25" t="s">
        <v>152</v>
      </c>
      <c r="R47" s="25" t="s">
        <v>152</v>
      </c>
      <c r="S47" s="25" t="s">
        <v>143</v>
      </c>
      <c r="T47" s="25" t="s">
        <v>143</v>
      </c>
      <c r="U47" s="25" t="s">
        <v>143</v>
      </c>
      <c r="V47" s="25" t="s">
        <v>152</v>
      </c>
      <c r="W47" s="25" t="s">
        <v>152</v>
      </c>
      <c r="X47" s="25" t="s">
        <v>152</v>
      </c>
      <c r="Y47" s="25" t="s">
        <v>141</v>
      </c>
      <c r="Z47" s="42">
        <v>3</v>
      </c>
      <c r="AA47" s="42">
        <v>11</v>
      </c>
      <c r="AB47" s="42"/>
      <c r="AC47" s="42"/>
      <c r="AD47" s="42"/>
      <c r="AE47" s="42"/>
      <c r="AF47" s="23" t="s">
        <v>111</v>
      </c>
      <c r="AG47" s="42">
        <v>9</v>
      </c>
      <c r="AH47" s="42">
        <v>12</v>
      </c>
      <c r="AI47" s="42">
        <v>1</v>
      </c>
      <c r="AJ47" s="42">
        <v>5</v>
      </c>
      <c r="AK47" s="42"/>
      <c r="AL47" s="42"/>
      <c r="AM47" s="42" t="b">
        <f t="shared" si="2"/>
        <v>1</v>
      </c>
      <c r="AN47" s="42" t="b">
        <f t="shared" si="3"/>
        <v>1</v>
      </c>
      <c r="AO47" s="42" t="b">
        <f t="shared" si="4"/>
        <v>1</v>
      </c>
    </row>
    <row r="48" spans="1:41" x14ac:dyDescent="0.35">
      <c r="A48" s="81"/>
      <c r="B48" s="22">
        <v>44</v>
      </c>
      <c r="C48" s="23" t="s">
        <v>21</v>
      </c>
      <c r="D48" s="23" t="s">
        <v>39</v>
      </c>
      <c r="E48" s="23" t="s">
        <v>45</v>
      </c>
      <c r="F48" s="22">
        <v>120</v>
      </c>
      <c r="G48" s="24">
        <v>0</v>
      </c>
      <c r="H48" s="24">
        <v>0.999305555555556</v>
      </c>
      <c r="I48" s="24"/>
      <c r="J48" s="24"/>
      <c r="K48" s="24"/>
      <c r="L48" s="24"/>
      <c r="M48" s="22" t="s">
        <v>41</v>
      </c>
      <c r="N48" s="25" t="s">
        <v>141</v>
      </c>
      <c r="O48" s="25" t="s">
        <v>141</v>
      </c>
      <c r="P48" s="25"/>
      <c r="Q48" s="25"/>
      <c r="R48" s="25" t="s">
        <v>143</v>
      </c>
      <c r="S48" s="25" t="s">
        <v>143</v>
      </c>
      <c r="T48" s="25" t="s">
        <v>143</v>
      </c>
      <c r="U48" s="25" t="s">
        <v>143</v>
      </c>
      <c r="V48" s="25"/>
      <c r="W48" s="25"/>
      <c r="X48" s="25" t="s">
        <v>141</v>
      </c>
      <c r="Y48" s="25" t="s">
        <v>141</v>
      </c>
      <c r="Z48" s="42">
        <v>5</v>
      </c>
      <c r="AA48" s="42">
        <v>8</v>
      </c>
      <c r="AB48" s="42"/>
      <c r="AC48" s="42"/>
      <c r="AD48" s="42"/>
      <c r="AE48" s="42"/>
      <c r="AF48" s="23" t="s">
        <v>62</v>
      </c>
      <c r="AG48" s="42">
        <v>11</v>
      </c>
      <c r="AH48" s="42">
        <v>12</v>
      </c>
      <c r="AI48" s="42">
        <v>1</v>
      </c>
      <c r="AJ48" s="42">
        <v>2</v>
      </c>
      <c r="AK48" s="42"/>
      <c r="AL48" s="42"/>
      <c r="AM48" s="42" t="b">
        <f t="shared" si="2"/>
        <v>0</v>
      </c>
      <c r="AN48" s="42" t="b">
        <f t="shared" si="3"/>
        <v>0</v>
      </c>
      <c r="AO48" s="42" t="b">
        <f t="shared" si="4"/>
        <v>1</v>
      </c>
    </row>
    <row r="49" spans="1:41" x14ac:dyDescent="0.35">
      <c r="A49" s="81"/>
      <c r="B49" s="22">
        <v>45</v>
      </c>
      <c r="C49" s="23" t="s">
        <v>100</v>
      </c>
      <c r="D49" s="23" t="s">
        <v>39</v>
      </c>
      <c r="E49" s="23" t="s">
        <v>49</v>
      </c>
      <c r="F49" s="22">
        <v>800</v>
      </c>
      <c r="G49" s="24">
        <v>0.66666666666666696</v>
      </c>
      <c r="H49" s="24">
        <v>0.999305555555556</v>
      </c>
      <c r="I49" s="24">
        <v>0</v>
      </c>
      <c r="J49" s="24">
        <v>0.375</v>
      </c>
      <c r="K49" s="24"/>
      <c r="L49" s="24"/>
      <c r="M49" s="22" t="s">
        <v>47</v>
      </c>
      <c r="N49" s="25" t="s">
        <v>141</v>
      </c>
      <c r="O49" s="25" t="s">
        <v>141</v>
      </c>
      <c r="P49" s="25" t="s">
        <v>141</v>
      </c>
      <c r="Q49" s="25" t="s">
        <v>141</v>
      </c>
      <c r="R49" s="25" t="s">
        <v>143</v>
      </c>
      <c r="S49" s="25" t="s">
        <v>143</v>
      </c>
      <c r="T49" s="25" t="s">
        <v>143</v>
      </c>
      <c r="U49" s="25" t="s">
        <v>143</v>
      </c>
      <c r="V49" s="25" t="s">
        <v>143</v>
      </c>
      <c r="W49" s="25" t="s">
        <v>143</v>
      </c>
      <c r="X49" s="25" t="s">
        <v>141</v>
      </c>
      <c r="Y49" s="25" t="s">
        <v>141</v>
      </c>
      <c r="Z49" s="42">
        <v>5</v>
      </c>
      <c r="AA49" s="42">
        <v>10</v>
      </c>
      <c r="AB49" s="42"/>
      <c r="AC49" s="42"/>
      <c r="AD49" s="42"/>
      <c r="AE49" s="42"/>
      <c r="AF49" s="23" t="s">
        <v>66</v>
      </c>
      <c r="AG49" s="42">
        <v>11</v>
      </c>
      <c r="AH49" s="42">
        <v>12</v>
      </c>
      <c r="AI49" s="42">
        <v>1</v>
      </c>
      <c r="AJ49" s="42">
        <v>4</v>
      </c>
      <c r="AK49" s="42"/>
      <c r="AL49" s="42"/>
      <c r="AM49" s="42" t="b">
        <f t="shared" si="2"/>
        <v>0</v>
      </c>
      <c r="AN49" s="42" t="b">
        <f t="shared" si="3"/>
        <v>0</v>
      </c>
      <c r="AO49" s="42" t="b">
        <f t="shared" si="4"/>
        <v>0</v>
      </c>
    </row>
    <row r="50" spans="1:41" x14ac:dyDescent="0.35">
      <c r="A50" s="81"/>
      <c r="B50" s="22">
        <v>46</v>
      </c>
      <c r="C50" s="23" t="s">
        <v>101</v>
      </c>
      <c r="D50" s="23" t="s">
        <v>85</v>
      </c>
      <c r="E50" s="23" t="s">
        <v>45</v>
      </c>
      <c r="F50" s="26">
        <v>3000</v>
      </c>
      <c r="G50" s="24">
        <v>0.66666666666666696</v>
      </c>
      <c r="H50" s="24">
        <v>0.999305555555556</v>
      </c>
      <c r="I50" s="24">
        <v>0</v>
      </c>
      <c r="J50" s="24">
        <v>0.375</v>
      </c>
      <c r="K50" s="24"/>
      <c r="L50" s="24"/>
      <c r="M50" s="22" t="s">
        <v>47</v>
      </c>
      <c r="N50" s="25" t="s">
        <v>141</v>
      </c>
      <c r="O50" s="25" t="s">
        <v>141</v>
      </c>
      <c r="P50" s="25" t="s">
        <v>141</v>
      </c>
      <c r="Q50" s="25" t="s">
        <v>141</v>
      </c>
      <c r="R50" s="25" t="s">
        <v>143</v>
      </c>
      <c r="S50" s="25" t="s">
        <v>143</v>
      </c>
      <c r="T50" s="25" t="s">
        <v>143</v>
      </c>
      <c r="U50" s="25" t="s">
        <v>143</v>
      </c>
      <c r="V50" s="25" t="s">
        <v>143</v>
      </c>
      <c r="W50" s="25" t="s">
        <v>143</v>
      </c>
      <c r="X50" s="25" t="s">
        <v>141</v>
      </c>
      <c r="Y50" s="25" t="s">
        <v>141</v>
      </c>
      <c r="Z50" s="42">
        <v>5</v>
      </c>
      <c r="AA50" s="42">
        <v>10</v>
      </c>
      <c r="AB50" s="42"/>
      <c r="AC50" s="42"/>
      <c r="AD50" s="42"/>
      <c r="AE50" s="42"/>
      <c r="AF50" s="23" t="s">
        <v>66</v>
      </c>
      <c r="AG50" s="42">
        <v>11</v>
      </c>
      <c r="AH50" s="42">
        <v>12</v>
      </c>
      <c r="AI50" s="42">
        <v>1</v>
      </c>
      <c r="AJ50" s="42">
        <v>4</v>
      </c>
      <c r="AK50" s="42"/>
      <c r="AL50" s="42"/>
      <c r="AM50" s="42" t="b">
        <f t="shared" si="2"/>
        <v>0</v>
      </c>
      <c r="AN50" s="42" t="b">
        <f t="shared" si="3"/>
        <v>0</v>
      </c>
      <c r="AO50" s="42" t="b">
        <f t="shared" si="4"/>
        <v>0</v>
      </c>
    </row>
    <row r="51" spans="1:41" x14ac:dyDescent="0.35">
      <c r="A51" s="81"/>
      <c r="B51" s="22">
        <v>47</v>
      </c>
      <c r="C51" s="23" t="s">
        <v>103</v>
      </c>
      <c r="D51" s="23" t="s">
        <v>104</v>
      </c>
      <c r="E51" s="23" t="s">
        <v>45</v>
      </c>
      <c r="F51" s="44">
        <v>2500</v>
      </c>
      <c r="G51" s="24">
        <v>0.375</v>
      </c>
      <c r="H51" s="24">
        <v>0.66666666666666696</v>
      </c>
      <c r="I51" s="24"/>
      <c r="J51" s="24"/>
      <c r="K51" s="24"/>
      <c r="L51" s="24"/>
      <c r="M51" s="22" t="s">
        <v>43</v>
      </c>
      <c r="N51" s="25" t="s">
        <v>141</v>
      </c>
      <c r="O51" s="25" t="s">
        <v>141</v>
      </c>
      <c r="P51" s="25" t="s">
        <v>141</v>
      </c>
      <c r="Q51" s="25" t="s">
        <v>141</v>
      </c>
      <c r="R51" s="25" t="s">
        <v>143</v>
      </c>
      <c r="S51" s="25" t="s">
        <v>143</v>
      </c>
      <c r="T51" s="25" t="s">
        <v>143</v>
      </c>
      <c r="U51" s="25" t="s">
        <v>143</v>
      </c>
      <c r="V51" s="25" t="s">
        <v>143</v>
      </c>
      <c r="W51" s="25" t="s">
        <v>143</v>
      </c>
      <c r="X51" s="25" t="s">
        <v>141</v>
      </c>
      <c r="Y51" s="25" t="s">
        <v>141</v>
      </c>
      <c r="Z51" s="42">
        <v>5</v>
      </c>
      <c r="AA51" s="42">
        <v>10</v>
      </c>
      <c r="AB51" s="42"/>
      <c r="AC51" s="42"/>
      <c r="AD51" s="42"/>
      <c r="AE51" s="42"/>
      <c r="AF51" s="23" t="s">
        <v>66</v>
      </c>
      <c r="AG51" s="42">
        <v>11</v>
      </c>
      <c r="AH51" s="42">
        <v>12</v>
      </c>
      <c r="AI51" s="42">
        <v>1</v>
      </c>
      <c r="AJ51" s="42">
        <v>4</v>
      </c>
      <c r="AK51" s="42"/>
      <c r="AL51" s="42"/>
      <c r="AM51" s="42" t="b">
        <f t="shared" si="2"/>
        <v>0</v>
      </c>
      <c r="AN51" s="42" t="b">
        <f t="shared" si="3"/>
        <v>0</v>
      </c>
      <c r="AO51" s="42" t="b">
        <f t="shared" si="4"/>
        <v>1</v>
      </c>
    </row>
    <row r="52" spans="1:41" x14ac:dyDescent="0.35">
      <c r="A52" s="81"/>
      <c r="B52" s="22">
        <v>48</v>
      </c>
      <c r="C52" s="23" t="s">
        <v>105</v>
      </c>
      <c r="D52" s="23" t="s">
        <v>104</v>
      </c>
      <c r="E52" s="23" t="s">
        <v>40</v>
      </c>
      <c r="F52" s="44">
        <v>800</v>
      </c>
      <c r="G52" s="24">
        <v>0.375</v>
      </c>
      <c r="H52" s="24">
        <v>0.66666666666666696</v>
      </c>
      <c r="I52" s="24"/>
      <c r="J52" s="24"/>
      <c r="K52" s="24"/>
      <c r="L52" s="24"/>
      <c r="M52" s="22" t="s">
        <v>43</v>
      </c>
      <c r="N52" s="25" t="s">
        <v>141</v>
      </c>
      <c r="O52" s="25" t="s">
        <v>141</v>
      </c>
      <c r="P52" s="25" t="s">
        <v>141</v>
      </c>
      <c r="Q52" s="25" t="s">
        <v>141</v>
      </c>
      <c r="R52" s="25" t="s">
        <v>143</v>
      </c>
      <c r="S52" s="25" t="s">
        <v>143</v>
      </c>
      <c r="T52" s="25" t="s">
        <v>143</v>
      </c>
      <c r="U52" s="25" t="s">
        <v>143</v>
      </c>
      <c r="V52" s="25" t="s">
        <v>143</v>
      </c>
      <c r="W52" s="25" t="s">
        <v>143</v>
      </c>
      <c r="X52" s="25" t="s">
        <v>141</v>
      </c>
      <c r="Y52" s="25" t="s">
        <v>141</v>
      </c>
      <c r="Z52" s="42">
        <v>5</v>
      </c>
      <c r="AA52" s="42">
        <v>10</v>
      </c>
      <c r="AB52" s="42"/>
      <c r="AC52" s="42"/>
      <c r="AD52" s="42"/>
      <c r="AE52" s="42"/>
      <c r="AF52" s="23" t="s">
        <v>66</v>
      </c>
      <c r="AG52" s="42">
        <v>11</v>
      </c>
      <c r="AH52" s="42">
        <v>12</v>
      </c>
      <c r="AI52" s="42">
        <v>1</v>
      </c>
      <c r="AJ52" s="42">
        <v>4</v>
      </c>
      <c r="AK52" s="42"/>
      <c r="AL52" s="42"/>
      <c r="AM52" s="42" t="b">
        <f t="shared" si="2"/>
        <v>0</v>
      </c>
      <c r="AN52" s="42" t="b">
        <f t="shared" si="3"/>
        <v>0</v>
      </c>
      <c r="AO52" s="42" t="b">
        <f t="shared" si="4"/>
        <v>1</v>
      </c>
    </row>
    <row r="53" spans="1:41" x14ac:dyDescent="0.35">
      <c r="A53" s="81"/>
      <c r="B53" s="22">
        <v>49</v>
      </c>
      <c r="C53" s="23" t="s">
        <v>22</v>
      </c>
      <c r="D53" s="23" t="s">
        <v>104</v>
      </c>
      <c r="E53" s="23" t="s">
        <v>58</v>
      </c>
      <c r="F53" s="44">
        <v>4500</v>
      </c>
      <c r="G53" s="24">
        <v>0</v>
      </c>
      <c r="H53" s="24">
        <v>0.999305555555556</v>
      </c>
      <c r="I53" s="24"/>
      <c r="J53" s="24"/>
      <c r="K53" s="24"/>
      <c r="L53" s="24"/>
      <c r="M53" s="22" t="s">
        <v>41</v>
      </c>
      <c r="N53" s="25" t="s">
        <v>141</v>
      </c>
      <c r="O53" s="25" t="s">
        <v>141</v>
      </c>
      <c r="P53" s="25" t="s">
        <v>141</v>
      </c>
      <c r="Q53" s="25" t="s">
        <v>141</v>
      </c>
      <c r="R53" s="25" t="s">
        <v>143</v>
      </c>
      <c r="S53" s="25" t="s">
        <v>143</v>
      </c>
      <c r="T53" s="25" t="s">
        <v>143</v>
      </c>
      <c r="U53" s="25" t="s">
        <v>143</v>
      </c>
      <c r="V53" s="25" t="s">
        <v>143</v>
      </c>
      <c r="W53" s="25" t="s">
        <v>143</v>
      </c>
      <c r="X53" s="25" t="s">
        <v>141</v>
      </c>
      <c r="Y53" s="25" t="s">
        <v>141</v>
      </c>
      <c r="Z53" s="42">
        <v>5</v>
      </c>
      <c r="AA53" s="42">
        <v>10</v>
      </c>
      <c r="AB53" s="42"/>
      <c r="AC53" s="42"/>
      <c r="AD53" s="42"/>
      <c r="AE53" s="42"/>
      <c r="AF53" s="23" t="s">
        <v>66</v>
      </c>
      <c r="AG53" s="42">
        <v>11</v>
      </c>
      <c r="AH53" s="42">
        <v>12</v>
      </c>
      <c r="AI53" s="42">
        <v>1</v>
      </c>
      <c r="AJ53" s="42">
        <v>4</v>
      </c>
      <c r="AK53" s="42"/>
      <c r="AL53" s="42"/>
      <c r="AM53" s="42" t="b">
        <f t="shared" si="2"/>
        <v>0</v>
      </c>
      <c r="AN53" s="42" t="b">
        <f t="shared" si="3"/>
        <v>0</v>
      </c>
      <c r="AO53" s="42" t="b">
        <f t="shared" si="4"/>
        <v>1</v>
      </c>
    </row>
    <row r="54" spans="1:41" x14ac:dyDescent="0.35">
      <c r="A54" s="81"/>
      <c r="B54" s="22">
        <v>50</v>
      </c>
      <c r="C54" s="23" t="s">
        <v>23</v>
      </c>
      <c r="D54" s="23" t="s">
        <v>104</v>
      </c>
      <c r="E54" s="23" t="s">
        <v>58</v>
      </c>
      <c r="F54" s="44">
        <v>6000</v>
      </c>
      <c r="G54" s="24">
        <v>0</v>
      </c>
      <c r="H54" s="24">
        <v>0.999305555555556</v>
      </c>
      <c r="I54" s="24"/>
      <c r="J54" s="24"/>
      <c r="K54" s="24"/>
      <c r="L54" s="24"/>
      <c r="M54" s="22" t="s">
        <v>41</v>
      </c>
      <c r="N54" s="25" t="s">
        <v>141</v>
      </c>
      <c r="O54" s="25" t="s">
        <v>141</v>
      </c>
      <c r="P54" s="25" t="s">
        <v>141</v>
      </c>
      <c r="Q54" s="25" t="s">
        <v>141</v>
      </c>
      <c r="R54" s="25" t="s">
        <v>143</v>
      </c>
      <c r="S54" s="25" t="s">
        <v>143</v>
      </c>
      <c r="T54" s="25" t="s">
        <v>143</v>
      </c>
      <c r="U54" s="25" t="s">
        <v>143</v>
      </c>
      <c r="V54" s="25" t="s">
        <v>143</v>
      </c>
      <c r="W54" s="25" t="s">
        <v>143</v>
      </c>
      <c r="X54" s="25" t="s">
        <v>141</v>
      </c>
      <c r="Y54" s="25" t="s">
        <v>141</v>
      </c>
      <c r="Z54" s="42">
        <v>5</v>
      </c>
      <c r="AA54" s="42">
        <v>10</v>
      </c>
      <c r="AB54" s="42"/>
      <c r="AC54" s="42"/>
      <c r="AD54" s="42"/>
      <c r="AE54" s="42"/>
      <c r="AF54" s="23" t="s">
        <v>66</v>
      </c>
      <c r="AG54" s="42">
        <v>11</v>
      </c>
      <c r="AH54" s="42">
        <v>12</v>
      </c>
      <c r="AI54" s="42">
        <v>1</v>
      </c>
      <c r="AJ54" s="42">
        <v>4</v>
      </c>
      <c r="AK54" s="42"/>
      <c r="AL54" s="42"/>
      <c r="AM54" s="42" t="b">
        <f t="shared" si="2"/>
        <v>0</v>
      </c>
      <c r="AN54" s="42" t="b">
        <f t="shared" si="3"/>
        <v>0</v>
      </c>
      <c r="AO54" s="42" t="b">
        <f t="shared" si="4"/>
        <v>1</v>
      </c>
    </row>
    <row r="55" spans="1:41" x14ac:dyDescent="0.35">
      <c r="A55" s="81"/>
      <c r="B55" s="22">
        <v>51</v>
      </c>
      <c r="C55" s="23" t="s">
        <v>24</v>
      </c>
      <c r="D55" s="23" t="s">
        <v>104</v>
      </c>
      <c r="E55" s="23" t="s">
        <v>40</v>
      </c>
      <c r="F55" s="26">
        <v>1500</v>
      </c>
      <c r="G55" s="24">
        <v>0.375</v>
      </c>
      <c r="H55" s="24">
        <v>0.66666666666666696</v>
      </c>
      <c r="I55" s="24"/>
      <c r="J55" s="24"/>
      <c r="K55" s="24"/>
      <c r="L55" s="24"/>
      <c r="M55" s="22" t="s">
        <v>43</v>
      </c>
      <c r="N55" s="25" t="s">
        <v>141</v>
      </c>
      <c r="O55" s="25" t="s">
        <v>141</v>
      </c>
      <c r="P55" s="25" t="s">
        <v>141</v>
      </c>
      <c r="Q55" s="25"/>
      <c r="R55" s="25" t="s">
        <v>143</v>
      </c>
      <c r="S55" s="25" t="s">
        <v>143</v>
      </c>
      <c r="T55" s="25" t="s">
        <v>143</v>
      </c>
      <c r="U55" s="25" t="s">
        <v>143</v>
      </c>
      <c r="V55" s="25" t="s">
        <v>143</v>
      </c>
      <c r="W55" s="25"/>
      <c r="X55" s="25" t="s">
        <v>141</v>
      </c>
      <c r="Y55" s="25" t="s">
        <v>141</v>
      </c>
      <c r="Z55" s="42">
        <v>5</v>
      </c>
      <c r="AA55" s="42">
        <v>9</v>
      </c>
      <c r="AB55" s="42"/>
      <c r="AC55" s="42"/>
      <c r="AD55" s="42"/>
      <c r="AE55" s="42"/>
      <c r="AF55" s="23" t="s">
        <v>92</v>
      </c>
      <c r="AG55" s="42">
        <v>11</v>
      </c>
      <c r="AH55" s="42">
        <v>12</v>
      </c>
      <c r="AI55" s="42">
        <v>1</v>
      </c>
      <c r="AJ55" s="42">
        <v>3</v>
      </c>
      <c r="AK55" s="42"/>
      <c r="AL55" s="42"/>
      <c r="AM55" s="42" t="b">
        <f t="shared" si="2"/>
        <v>0</v>
      </c>
      <c r="AN55" s="42" t="b">
        <f t="shared" si="3"/>
        <v>0</v>
      </c>
      <c r="AO55" s="42" t="b">
        <f t="shared" si="4"/>
        <v>1</v>
      </c>
    </row>
    <row r="56" spans="1:41" x14ac:dyDescent="0.35">
      <c r="A56" s="81"/>
      <c r="B56" s="22">
        <v>52</v>
      </c>
      <c r="C56" s="23" t="s">
        <v>106</v>
      </c>
      <c r="D56" s="23" t="s">
        <v>104</v>
      </c>
      <c r="E56" s="23" t="s">
        <v>88</v>
      </c>
      <c r="F56" s="44">
        <v>7000</v>
      </c>
      <c r="G56" s="24">
        <v>0</v>
      </c>
      <c r="H56" s="24">
        <v>0.999305555555556</v>
      </c>
      <c r="I56" s="24"/>
      <c r="J56" s="24"/>
      <c r="K56" s="24"/>
      <c r="L56" s="24"/>
      <c r="M56" s="22" t="s">
        <v>41</v>
      </c>
      <c r="N56" s="25" t="s">
        <v>143</v>
      </c>
      <c r="O56" s="25" t="s">
        <v>143</v>
      </c>
      <c r="P56" s="25" t="s">
        <v>143</v>
      </c>
      <c r="Q56" s="25" t="s">
        <v>143</v>
      </c>
      <c r="R56" s="25" t="s">
        <v>141</v>
      </c>
      <c r="S56" s="25" t="s">
        <v>141</v>
      </c>
      <c r="T56" s="25" t="s">
        <v>141</v>
      </c>
      <c r="U56" s="25" t="s">
        <v>141</v>
      </c>
      <c r="V56" s="25" t="s">
        <v>141</v>
      </c>
      <c r="W56" s="25" t="s">
        <v>141</v>
      </c>
      <c r="X56" s="25" t="s">
        <v>143</v>
      </c>
      <c r="Y56" s="25" t="s">
        <v>143</v>
      </c>
      <c r="Z56" s="42">
        <v>1</v>
      </c>
      <c r="AA56" s="42">
        <v>4</v>
      </c>
      <c r="AB56" s="42">
        <v>11</v>
      </c>
      <c r="AC56" s="42">
        <v>12</v>
      </c>
      <c r="AD56" s="42"/>
      <c r="AE56" s="42"/>
      <c r="AF56" s="23" t="s">
        <v>120</v>
      </c>
      <c r="AG56" s="42">
        <v>5</v>
      </c>
      <c r="AH56" s="42">
        <v>10</v>
      </c>
      <c r="AI56" s="42"/>
      <c r="AJ56" s="42"/>
      <c r="AK56" s="42"/>
      <c r="AL56" s="42"/>
      <c r="AM56" s="42" t="b">
        <f t="shared" si="2"/>
        <v>1</v>
      </c>
      <c r="AN56" s="42" t="b">
        <f t="shared" si="3"/>
        <v>1</v>
      </c>
      <c r="AO56" s="42" t="b">
        <f t="shared" si="4"/>
        <v>0</v>
      </c>
    </row>
    <row r="57" spans="1:41" x14ac:dyDescent="0.35">
      <c r="A57" s="81"/>
      <c r="B57" s="22">
        <v>53</v>
      </c>
      <c r="C57" s="23" t="s">
        <v>25</v>
      </c>
      <c r="D57" s="23" t="s">
        <v>104</v>
      </c>
      <c r="E57" s="23" t="s">
        <v>46</v>
      </c>
      <c r="F57" s="44">
        <v>5000</v>
      </c>
      <c r="G57" s="24">
        <v>0.875</v>
      </c>
      <c r="H57" s="24">
        <v>0.99930555555555556</v>
      </c>
      <c r="I57" s="24">
        <v>0</v>
      </c>
      <c r="J57" s="24">
        <v>0.16666666666666666</v>
      </c>
      <c r="K57" s="24"/>
      <c r="L57" s="24"/>
      <c r="M57" s="22" t="s">
        <v>59</v>
      </c>
      <c r="N57" s="25" t="s">
        <v>143</v>
      </c>
      <c r="O57" s="25" t="s">
        <v>143</v>
      </c>
      <c r="P57" s="25"/>
      <c r="Q57" s="25"/>
      <c r="R57" s="25" t="s">
        <v>141</v>
      </c>
      <c r="S57" s="25" t="s">
        <v>141</v>
      </c>
      <c r="T57" s="25" t="s">
        <v>141</v>
      </c>
      <c r="U57" s="25" t="s">
        <v>141</v>
      </c>
      <c r="V57" s="25"/>
      <c r="W57" s="25"/>
      <c r="X57" s="25" t="s">
        <v>143</v>
      </c>
      <c r="Y57" s="25" t="s">
        <v>143</v>
      </c>
      <c r="Z57" s="42">
        <v>1</v>
      </c>
      <c r="AA57" s="42">
        <v>2</v>
      </c>
      <c r="AB57" s="42">
        <v>11</v>
      </c>
      <c r="AC57" s="42">
        <v>12</v>
      </c>
      <c r="AD57" s="42"/>
      <c r="AE57" s="42"/>
      <c r="AF57" s="23" t="s">
        <v>109</v>
      </c>
      <c r="AG57" s="42">
        <v>5</v>
      </c>
      <c r="AH57" s="42">
        <v>8</v>
      </c>
      <c r="AI57" s="42"/>
      <c r="AJ57" s="42"/>
      <c r="AK57" s="42"/>
      <c r="AL57" s="42"/>
      <c r="AM57" s="42" t="b">
        <f t="shared" si="2"/>
        <v>0</v>
      </c>
      <c r="AN57" s="42" t="b">
        <f t="shared" si="3"/>
        <v>0</v>
      </c>
      <c r="AO57" s="42" t="b">
        <f t="shared" si="4"/>
        <v>0</v>
      </c>
    </row>
    <row r="58" spans="1:41" x14ac:dyDescent="0.35">
      <c r="A58" s="81"/>
      <c r="B58" s="22">
        <v>54</v>
      </c>
      <c r="C58" s="23" t="s">
        <v>108</v>
      </c>
      <c r="D58" s="23" t="s">
        <v>104</v>
      </c>
      <c r="E58" s="23" t="s">
        <v>40</v>
      </c>
      <c r="F58" s="22">
        <v>900</v>
      </c>
      <c r="G58" s="24">
        <v>0</v>
      </c>
      <c r="H58" s="24">
        <v>0.999305555555556</v>
      </c>
      <c r="I58" s="24"/>
      <c r="J58" s="24"/>
      <c r="K58" s="24"/>
      <c r="L58" s="24"/>
      <c r="M58" s="22" t="s">
        <v>41</v>
      </c>
      <c r="N58" s="25" t="s">
        <v>143</v>
      </c>
      <c r="O58" s="25" t="s">
        <v>143</v>
      </c>
      <c r="P58" s="25" t="s">
        <v>143</v>
      </c>
      <c r="Q58" s="25"/>
      <c r="R58" s="25" t="s">
        <v>141</v>
      </c>
      <c r="S58" s="25" t="s">
        <v>141</v>
      </c>
      <c r="T58" s="25" t="s">
        <v>141</v>
      </c>
      <c r="U58" s="25" t="s">
        <v>141</v>
      </c>
      <c r="V58" s="25" t="s">
        <v>141</v>
      </c>
      <c r="W58" s="25"/>
      <c r="X58" s="25" t="s">
        <v>143</v>
      </c>
      <c r="Y58" s="25" t="s">
        <v>143</v>
      </c>
      <c r="Z58" s="42">
        <v>1</v>
      </c>
      <c r="AA58" s="42">
        <v>3</v>
      </c>
      <c r="AB58" s="42">
        <v>11</v>
      </c>
      <c r="AC58" s="42">
        <v>12</v>
      </c>
      <c r="AD58" s="42"/>
      <c r="AE58" s="42"/>
      <c r="AF58" s="23" t="s">
        <v>42</v>
      </c>
      <c r="AG58" s="42">
        <v>5</v>
      </c>
      <c r="AH58" s="42">
        <v>9</v>
      </c>
      <c r="AI58" s="42"/>
      <c r="AJ58" s="42"/>
      <c r="AK58" s="42"/>
      <c r="AL58" s="42"/>
      <c r="AM58" s="42" t="b">
        <f t="shared" si="2"/>
        <v>1</v>
      </c>
      <c r="AN58" s="42" t="b">
        <f t="shared" si="3"/>
        <v>1</v>
      </c>
      <c r="AO58" s="42" t="b">
        <f t="shared" si="4"/>
        <v>0</v>
      </c>
    </row>
    <row r="59" spans="1:41" x14ac:dyDescent="0.35">
      <c r="A59" s="81"/>
      <c r="B59" s="22">
        <v>55</v>
      </c>
      <c r="C59" s="23" t="s">
        <v>26</v>
      </c>
      <c r="D59" s="23" t="s">
        <v>104</v>
      </c>
      <c r="E59" s="23" t="s">
        <v>49</v>
      </c>
      <c r="F59" s="44">
        <v>2500</v>
      </c>
      <c r="G59" s="24">
        <v>0.66666666666666696</v>
      </c>
      <c r="H59" s="24">
        <v>0.999305555555556</v>
      </c>
      <c r="I59" s="24">
        <v>0</v>
      </c>
      <c r="J59" s="24">
        <v>0.375</v>
      </c>
      <c r="K59" s="24"/>
      <c r="L59" s="24"/>
      <c r="M59" s="22" t="s">
        <v>47</v>
      </c>
      <c r="N59" s="25" t="s">
        <v>143</v>
      </c>
      <c r="O59" s="25" t="s">
        <v>143</v>
      </c>
      <c r="P59" s="25" t="s">
        <v>143</v>
      </c>
      <c r="Q59" s="25"/>
      <c r="R59" s="25" t="s">
        <v>141</v>
      </c>
      <c r="S59" s="25" t="s">
        <v>141</v>
      </c>
      <c r="T59" s="25" t="s">
        <v>141</v>
      </c>
      <c r="U59" s="25" t="s">
        <v>141</v>
      </c>
      <c r="V59" s="25" t="s">
        <v>141</v>
      </c>
      <c r="W59" s="25"/>
      <c r="X59" s="25" t="s">
        <v>143</v>
      </c>
      <c r="Y59" s="25" t="s">
        <v>143</v>
      </c>
      <c r="Z59" s="42">
        <v>1</v>
      </c>
      <c r="AA59" s="42">
        <v>3</v>
      </c>
      <c r="AB59" s="42">
        <v>11</v>
      </c>
      <c r="AC59" s="42">
        <v>12</v>
      </c>
      <c r="AD59" s="42"/>
      <c r="AE59" s="42"/>
      <c r="AF59" s="23" t="s">
        <v>42</v>
      </c>
      <c r="AG59" s="42">
        <v>5</v>
      </c>
      <c r="AH59" s="42">
        <v>9</v>
      </c>
      <c r="AI59" s="42"/>
      <c r="AJ59" s="42"/>
      <c r="AK59" s="42"/>
      <c r="AL59" s="42"/>
      <c r="AM59" s="42" t="b">
        <f t="shared" si="2"/>
        <v>0</v>
      </c>
      <c r="AN59" s="42" t="b">
        <f t="shared" si="3"/>
        <v>0</v>
      </c>
      <c r="AO59" s="42" t="b">
        <f t="shared" si="4"/>
        <v>0</v>
      </c>
    </row>
    <row r="60" spans="1:41" x14ac:dyDescent="0.35">
      <c r="A60" s="81"/>
      <c r="B60" s="22">
        <v>56</v>
      </c>
      <c r="C60" s="23" t="s">
        <v>110</v>
      </c>
      <c r="D60" s="23" t="s">
        <v>104</v>
      </c>
      <c r="E60" s="23" t="s">
        <v>46</v>
      </c>
      <c r="F60" s="44">
        <v>300</v>
      </c>
      <c r="G60" s="24">
        <v>0</v>
      </c>
      <c r="H60" s="24">
        <v>0.999305555555556</v>
      </c>
      <c r="I60" s="24"/>
      <c r="J60" s="24"/>
      <c r="K60" s="24"/>
      <c r="L60" s="24"/>
      <c r="M60" s="22" t="s">
        <v>41</v>
      </c>
      <c r="N60" s="25" t="s">
        <v>143</v>
      </c>
      <c r="O60" s="25" t="s">
        <v>143</v>
      </c>
      <c r="P60" s="25" t="s">
        <v>143</v>
      </c>
      <c r="Q60" s="25" t="s">
        <v>152</v>
      </c>
      <c r="R60" s="25" t="s">
        <v>141</v>
      </c>
      <c r="S60" s="25" t="s">
        <v>141</v>
      </c>
      <c r="T60" s="25" t="s">
        <v>141</v>
      </c>
      <c r="U60" s="25" t="s">
        <v>141</v>
      </c>
      <c r="V60" s="25" t="s">
        <v>141</v>
      </c>
      <c r="W60" s="25" t="s">
        <v>152</v>
      </c>
      <c r="X60" s="25" t="s">
        <v>143</v>
      </c>
      <c r="Y60" s="25" t="s">
        <v>143</v>
      </c>
      <c r="Z60" s="42">
        <v>1</v>
      </c>
      <c r="AA60" s="42">
        <v>4</v>
      </c>
      <c r="AB60" s="42">
        <v>10</v>
      </c>
      <c r="AC60" s="42">
        <v>12</v>
      </c>
      <c r="AD60" s="42"/>
      <c r="AE60" s="42"/>
      <c r="AF60" s="23" t="s">
        <v>113</v>
      </c>
      <c r="AG60" s="42">
        <v>4</v>
      </c>
      <c r="AH60" s="42">
        <v>10</v>
      </c>
      <c r="AI60" s="42"/>
      <c r="AJ60" s="42"/>
      <c r="AK60" s="42"/>
      <c r="AL60" s="42"/>
      <c r="AM60" s="42" t="b">
        <f t="shared" si="2"/>
        <v>1</v>
      </c>
      <c r="AN60" s="42" t="b">
        <f t="shared" si="3"/>
        <v>1</v>
      </c>
      <c r="AO60" s="42" t="b">
        <f t="shared" si="4"/>
        <v>0</v>
      </c>
    </row>
    <row r="61" spans="1:41" x14ac:dyDescent="0.35">
      <c r="A61" s="81"/>
      <c r="B61" s="22">
        <v>57</v>
      </c>
      <c r="C61" s="23" t="s">
        <v>27</v>
      </c>
      <c r="D61" s="23" t="s">
        <v>104</v>
      </c>
      <c r="E61" s="23" t="s">
        <v>46</v>
      </c>
      <c r="F61" s="22">
        <v>300</v>
      </c>
      <c r="G61" s="24">
        <v>0</v>
      </c>
      <c r="H61" s="24">
        <v>0.999305555555556</v>
      </c>
      <c r="I61" s="24"/>
      <c r="J61" s="24"/>
      <c r="K61" s="24"/>
      <c r="L61" s="24"/>
      <c r="M61" s="22" t="s">
        <v>41</v>
      </c>
      <c r="N61" s="25" t="s">
        <v>143</v>
      </c>
      <c r="O61" s="25" t="s">
        <v>143</v>
      </c>
      <c r="P61" s="25" t="s">
        <v>143</v>
      </c>
      <c r="Q61" s="25" t="s">
        <v>141</v>
      </c>
      <c r="R61" s="25" t="s">
        <v>141</v>
      </c>
      <c r="S61" s="25" t="s">
        <v>141</v>
      </c>
      <c r="T61" s="25" t="s">
        <v>141</v>
      </c>
      <c r="U61" s="25" t="s">
        <v>141</v>
      </c>
      <c r="V61" s="25" t="s">
        <v>141</v>
      </c>
      <c r="W61" s="25" t="s">
        <v>143</v>
      </c>
      <c r="X61" s="25" t="s">
        <v>143</v>
      </c>
      <c r="Y61" s="25" t="s">
        <v>143</v>
      </c>
      <c r="Z61" s="42">
        <v>1</v>
      </c>
      <c r="AA61" s="42">
        <v>3</v>
      </c>
      <c r="AB61" s="42">
        <v>10</v>
      </c>
      <c r="AC61" s="42">
        <v>12</v>
      </c>
      <c r="AD61" s="42"/>
      <c r="AE61" s="42"/>
      <c r="AF61" s="23" t="s">
        <v>69</v>
      </c>
      <c r="AG61" s="42">
        <v>4</v>
      </c>
      <c r="AH61" s="42">
        <v>9</v>
      </c>
      <c r="AI61" s="42"/>
      <c r="AJ61" s="42"/>
      <c r="AK61" s="42"/>
      <c r="AL61" s="42"/>
      <c r="AM61" s="42" t="b">
        <f t="shared" si="2"/>
        <v>1</v>
      </c>
      <c r="AN61" s="42" t="b">
        <f t="shared" si="3"/>
        <v>1</v>
      </c>
      <c r="AO61" s="42" t="b">
        <f t="shared" si="4"/>
        <v>0</v>
      </c>
    </row>
    <row r="62" spans="1:41" x14ac:dyDescent="0.35">
      <c r="A62" s="81"/>
      <c r="B62" s="22">
        <v>58</v>
      </c>
      <c r="C62" s="23" t="s">
        <v>28</v>
      </c>
      <c r="D62" s="23" t="s">
        <v>104</v>
      </c>
      <c r="E62" s="23" t="s">
        <v>49</v>
      </c>
      <c r="F62" s="22">
        <v>700</v>
      </c>
      <c r="G62" s="24">
        <v>0</v>
      </c>
      <c r="H62" s="24">
        <v>0.999305555555556</v>
      </c>
      <c r="I62" s="24"/>
      <c r="J62" s="24"/>
      <c r="K62" s="24"/>
      <c r="L62" s="24"/>
      <c r="M62" s="22" t="s">
        <v>41</v>
      </c>
      <c r="N62" s="25"/>
      <c r="O62" s="25"/>
      <c r="P62" s="25" t="s">
        <v>141</v>
      </c>
      <c r="Q62" s="25"/>
      <c r="R62" s="25"/>
      <c r="S62" s="25"/>
      <c r="T62" s="25"/>
      <c r="U62" s="25"/>
      <c r="V62" s="25" t="s">
        <v>143</v>
      </c>
      <c r="W62" s="25"/>
      <c r="X62" s="25"/>
      <c r="Y62" s="25"/>
      <c r="Z62" s="42">
        <v>9</v>
      </c>
      <c r="AA62" s="42">
        <v>9</v>
      </c>
      <c r="AB62" s="42"/>
      <c r="AC62" s="42"/>
      <c r="AD62" s="42"/>
      <c r="AE62" s="42"/>
      <c r="AF62" s="23" t="s">
        <v>86</v>
      </c>
      <c r="AG62" s="42">
        <v>3</v>
      </c>
      <c r="AH62" s="42">
        <v>3</v>
      </c>
      <c r="AI62" s="42"/>
      <c r="AJ62" s="42"/>
      <c r="AK62" s="42"/>
      <c r="AL62" s="42"/>
      <c r="AM62" s="42" t="b">
        <f t="shared" si="2"/>
        <v>0</v>
      </c>
      <c r="AN62" s="42" t="b">
        <f t="shared" ref="AN62:AN84" si="5">AND(OR(AND(Z62&lt;=Z$2,AA62&gt;=Z$2), AND(AB62&lt;=Z$2,AC62&gt;=Z$2), AND(AD62&lt;=Z$2,AE62&gt;=Z$2)), OR(AND(G62&lt;=G$2, H62&gt;=G$2),AND(I62&lt;=G$2,J62&gt;=G$2),AND(K62&lt;=G$2,L62&gt;=G$2)))</f>
        <v>0</v>
      </c>
      <c r="AO62" s="42" t="b">
        <f t="shared" ref="AO62:AO84" si="6">AND(OR(AND(AG62&lt;=Z$2,AH62&gt;=Z$2), AND(AI62&lt;=Z$2,AJ62&gt;=Z$2), AND(AK62&lt;=Z$2,AL62&gt;=Z$2)), OR(AND(G62&lt;=G$2, H62&gt;=G$2),AND(I62&lt;=G$2,J62&gt;=G$2),AND(K62&lt;=G$2,L62&gt;=G$2)))</f>
        <v>0</v>
      </c>
    </row>
    <row r="63" spans="1:41" x14ac:dyDescent="0.35">
      <c r="A63" s="81"/>
      <c r="B63" s="22">
        <v>59</v>
      </c>
      <c r="C63" s="23" t="s">
        <v>29</v>
      </c>
      <c r="D63" s="23" t="s">
        <v>104</v>
      </c>
      <c r="E63" s="23" t="s">
        <v>88</v>
      </c>
      <c r="F63" s="26">
        <v>1800</v>
      </c>
      <c r="G63" s="24">
        <v>0</v>
      </c>
      <c r="H63" s="24">
        <v>0.999305555555556</v>
      </c>
      <c r="I63" s="24"/>
      <c r="J63" s="24"/>
      <c r="K63" s="24"/>
      <c r="L63" s="24"/>
      <c r="M63" s="22" t="s">
        <v>41</v>
      </c>
      <c r="N63" s="25"/>
      <c r="O63" s="25"/>
      <c r="P63" s="25" t="s">
        <v>141</v>
      </c>
      <c r="Q63" s="25"/>
      <c r="R63" s="25"/>
      <c r="S63" s="25"/>
      <c r="T63" s="25"/>
      <c r="U63" s="25"/>
      <c r="V63" s="25" t="s">
        <v>143</v>
      </c>
      <c r="W63" s="25"/>
      <c r="X63" s="25"/>
      <c r="Y63" s="25"/>
      <c r="Z63" s="42">
        <v>9</v>
      </c>
      <c r="AA63" s="42">
        <v>9</v>
      </c>
      <c r="AB63" s="42"/>
      <c r="AC63" s="42"/>
      <c r="AD63" s="42"/>
      <c r="AE63" s="42"/>
      <c r="AF63" s="23" t="s">
        <v>86</v>
      </c>
      <c r="AG63" s="42">
        <v>3</v>
      </c>
      <c r="AH63" s="42">
        <v>3</v>
      </c>
      <c r="AI63" s="42"/>
      <c r="AJ63" s="42"/>
      <c r="AK63" s="42"/>
      <c r="AL63" s="42"/>
      <c r="AM63" s="42" t="b">
        <f t="shared" si="2"/>
        <v>0</v>
      </c>
      <c r="AN63" s="42" t="b">
        <f t="shared" si="5"/>
        <v>0</v>
      </c>
      <c r="AO63" s="42" t="b">
        <f t="shared" si="6"/>
        <v>0</v>
      </c>
    </row>
    <row r="64" spans="1:41" x14ac:dyDescent="0.35">
      <c r="A64" s="81"/>
      <c r="B64" s="22">
        <v>60</v>
      </c>
      <c r="C64" s="23" t="s">
        <v>30</v>
      </c>
      <c r="D64" s="23" t="s">
        <v>104</v>
      </c>
      <c r="E64" s="23" t="s">
        <v>58</v>
      </c>
      <c r="F64" s="26">
        <v>1800</v>
      </c>
      <c r="G64" s="24">
        <v>0</v>
      </c>
      <c r="H64" s="24">
        <v>0.999305555555556</v>
      </c>
      <c r="I64" s="24"/>
      <c r="J64" s="24"/>
      <c r="K64" s="24"/>
      <c r="L64" s="24"/>
      <c r="M64" s="22" t="s">
        <v>41</v>
      </c>
      <c r="N64" s="25"/>
      <c r="O64" s="25"/>
      <c r="P64" s="25" t="s">
        <v>141</v>
      </c>
      <c r="Q64" s="25" t="s">
        <v>141</v>
      </c>
      <c r="R64" s="25" t="s">
        <v>141</v>
      </c>
      <c r="S64" s="25" t="s">
        <v>141</v>
      </c>
      <c r="T64" s="25"/>
      <c r="U64" s="25"/>
      <c r="V64" s="25" t="s">
        <v>143</v>
      </c>
      <c r="W64" s="25" t="s">
        <v>143</v>
      </c>
      <c r="X64" s="25" t="s">
        <v>143</v>
      </c>
      <c r="Y64" s="25" t="s">
        <v>143</v>
      </c>
      <c r="Z64" s="42">
        <v>9</v>
      </c>
      <c r="AA64" s="42">
        <v>12</v>
      </c>
      <c r="AB64" s="42"/>
      <c r="AC64" s="42"/>
      <c r="AD64" s="42"/>
      <c r="AE64" s="42"/>
      <c r="AF64" s="23" t="s">
        <v>72</v>
      </c>
      <c r="AG64" s="42">
        <v>3</v>
      </c>
      <c r="AH64" s="42">
        <v>6</v>
      </c>
      <c r="AI64" s="42"/>
      <c r="AJ64" s="42"/>
      <c r="AK64" s="42"/>
      <c r="AL64" s="42"/>
      <c r="AM64" s="42" t="b">
        <f t="shared" si="2"/>
        <v>1</v>
      </c>
      <c r="AN64" s="42" t="b">
        <f t="shared" si="5"/>
        <v>1</v>
      </c>
      <c r="AO64" s="42" t="b">
        <f t="shared" si="6"/>
        <v>0</v>
      </c>
    </row>
    <row r="65" spans="1:41" x14ac:dyDescent="0.35">
      <c r="A65" s="81"/>
      <c r="B65" s="22">
        <v>61</v>
      </c>
      <c r="C65" s="23" t="s">
        <v>112</v>
      </c>
      <c r="D65" s="23" t="s">
        <v>104</v>
      </c>
      <c r="E65" s="23" t="s">
        <v>88</v>
      </c>
      <c r="F65" s="44">
        <v>10000</v>
      </c>
      <c r="G65" s="24">
        <v>0</v>
      </c>
      <c r="H65" s="24">
        <v>0.999305555555556</v>
      </c>
      <c r="I65" s="24"/>
      <c r="J65" s="24"/>
      <c r="K65" s="24"/>
      <c r="L65" s="24"/>
      <c r="M65" s="22" t="s">
        <v>41</v>
      </c>
      <c r="N65" s="25" t="s">
        <v>143</v>
      </c>
      <c r="O65" s="25" t="s">
        <v>143</v>
      </c>
      <c r="P65" s="25" t="s">
        <v>152</v>
      </c>
      <c r="Q65" s="25" t="s">
        <v>141</v>
      </c>
      <c r="R65" s="25" t="s">
        <v>141</v>
      </c>
      <c r="S65" s="25" t="s">
        <v>141</v>
      </c>
      <c r="T65" s="25" t="s">
        <v>141</v>
      </c>
      <c r="U65" s="25" t="s">
        <v>141</v>
      </c>
      <c r="V65" s="25" t="s">
        <v>152</v>
      </c>
      <c r="W65" s="25" t="s">
        <v>143</v>
      </c>
      <c r="X65" s="25" t="s">
        <v>143</v>
      </c>
      <c r="Y65" s="25" t="s">
        <v>143</v>
      </c>
      <c r="Z65" s="42">
        <v>1</v>
      </c>
      <c r="AA65" s="42">
        <v>3</v>
      </c>
      <c r="AB65" s="42">
        <v>9</v>
      </c>
      <c r="AC65" s="42">
        <v>12</v>
      </c>
      <c r="AD65" s="42"/>
      <c r="AE65" s="42"/>
      <c r="AF65" s="23" t="s">
        <v>102</v>
      </c>
      <c r="AG65" s="42">
        <v>3</v>
      </c>
      <c r="AH65" s="42">
        <v>9</v>
      </c>
      <c r="AI65" s="42"/>
      <c r="AJ65" s="42"/>
      <c r="AK65" s="42"/>
      <c r="AL65" s="42"/>
      <c r="AM65" s="42" t="b">
        <f t="shared" si="2"/>
        <v>1</v>
      </c>
      <c r="AN65" s="42" t="b">
        <f t="shared" si="5"/>
        <v>1</v>
      </c>
      <c r="AO65" s="42" t="b">
        <f t="shared" si="6"/>
        <v>0</v>
      </c>
    </row>
    <row r="66" spans="1:41" x14ac:dyDescent="0.35">
      <c r="A66" s="81"/>
      <c r="B66" s="22">
        <v>62</v>
      </c>
      <c r="C66" s="23" t="s">
        <v>31</v>
      </c>
      <c r="D66" s="23" t="s">
        <v>104</v>
      </c>
      <c r="E66" s="23" t="s">
        <v>45</v>
      </c>
      <c r="F66" s="26">
        <v>2000</v>
      </c>
      <c r="G66" s="24">
        <v>0.66666666666666696</v>
      </c>
      <c r="H66" s="24">
        <v>0.999305555555556</v>
      </c>
      <c r="I66" s="24">
        <v>0</v>
      </c>
      <c r="J66" s="24">
        <v>0.375</v>
      </c>
      <c r="K66" s="24"/>
      <c r="L66" s="24"/>
      <c r="M66" s="22" t="s">
        <v>47</v>
      </c>
      <c r="N66" s="25"/>
      <c r="O66" s="25"/>
      <c r="P66" s="25" t="s">
        <v>141</v>
      </c>
      <c r="Q66" s="25" t="s">
        <v>141</v>
      </c>
      <c r="R66" s="25" t="s">
        <v>141</v>
      </c>
      <c r="S66" s="25"/>
      <c r="T66" s="25"/>
      <c r="U66" s="25"/>
      <c r="V66" s="25" t="s">
        <v>143</v>
      </c>
      <c r="W66" s="25" t="s">
        <v>143</v>
      </c>
      <c r="X66" s="25" t="s">
        <v>143</v>
      </c>
      <c r="Y66" s="25"/>
      <c r="Z66" s="42">
        <v>9</v>
      </c>
      <c r="AA66" s="42">
        <v>11</v>
      </c>
      <c r="AB66" s="42"/>
      <c r="AC66" s="42"/>
      <c r="AD66" s="42"/>
      <c r="AE66" s="42"/>
      <c r="AF66" s="23" t="s">
        <v>90</v>
      </c>
      <c r="AG66" s="42">
        <v>3</v>
      </c>
      <c r="AH66" s="42">
        <v>5</v>
      </c>
      <c r="AI66" s="42"/>
      <c r="AJ66" s="42"/>
      <c r="AK66" s="42"/>
      <c r="AL66" s="42"/>
      <c r="AM66" s="42" t="b">
        <f t="shared" si="2"/>
        <v>0</v>
      </c>
      <c r="AN66" s="42" t="b">
        <f t="shared" si="5"/>
        <v>0</v>
      </c>
      <c r="AO66" s="42" t="b">
        <f t="shared" si="6"/>
        <v>0</v>
      </c>
    </row>
    <row r="67" spans="1:41" x14ac:dyDescent="0.35">
      <c r="A67" s="81"/>
      <c r="B67" s="22">
        <v>63</v>
      </c>
      <c r="C67" s="23" t="s">
        <v>32</v>
      </c>
      <c r="D67" s="23" t="s">
        <v>104</v>
      </c>
      <c r="E67" s="23" t="s">
        <v>40</v>
      </c>
      <c r="F67" s="22">
        <v>160</v>
      </c>
      <c r="G67" s="24">
        <v>0.375</v>
      </c>
      <c r="H67" s="24">
        <v>0.66666666666666696</v>
      </c>
      <c r="I67" s="24"/>
      <c r="J67" s="24"/>
      <c r="K67" s="24"/>
      <c r="L67" s="24"/>
      <c r="M67" s="22" t="s">
        <v>43</v>
      </c>
      <c r="N67" s="25" t="s">
        <v>152</v>
      </c>
      <c r="O67" s="25" t="s">
        <v>152</v>
      </c>
      <c r="P67" s="25" t="s">
        <v>152</v>
      </c>
      <c r="Q67" s="25" t="s">
        <v>152</v>
      </c>
      <c r="R67" s="25" t="s">
        <v>152</v>
      </c>
      <c r="S67" s="25" t="s">
        <v>152</v>
      </c>
      <c r="T67" s="25" t="s">
        <v>152</v>
      </c>
      <c r="U67" s="25" t="s">
        <v>152</v>
      </c>
      <c r="V67" s="25" t="s">
        <v>152</v>
      </c>
      <c r="W67" s="25" t="s">
        <v>152</v>
      </c>
      <c r="X67" s="25" t="s">
        <v>152</v>
      </c>
      <c r="Y67" s="25" t="s">
        <v>152</v>
      </c>
      <c r="Z67" s="42">
        <v>1</v>
      </c>
      <c r="AA67" s="42">
        <v>12</v>
      </c>
      <c r="AB67" s="42"/>
      <c r="AC67" s="42"/>
      <c r="AD67" s="42"/>
      <c r="AE67" s="42"/>
      <c r="AF67" s="23" t="s">
        <v>44</v>
      </c>
      <c r="AG67" s="42">
        <v>1</v>
      </c>
      <c r="AH67" s="42">
        <v>12</v>
      </c>
      <c r="AI67" s="42"/>
      <c r="AJ67" s="42"/>
      <c r="AK67" s="42"/>
      <c r="AL67" s="42"/>
      <c r="AM67" s="42" t="b">
        <f t="shared" si="2"/>
        <v>1</v>
      </c>
      <c r="AN67" s="42" t="b">
        <f t="shared" si="5"/>
        <v>1</v>
      </c>
      <c r="AO67" s="42" t="b">
        <f t="shared" si="6"/>
        <v>1</v>
      </c>
    </row>
    <row r="68" spans="1:41" x14ac:dyDescent="0.35">
      <c r="A68" s="81"/>
      <c r="B68" s="22">
        <v>64</v>
      </c>
      <c r="C68" s="23" t="s">
        <v>115</v>
      </c>
      <c r="D68" s="23" t="s">
        <v>104</v>
      </c>
      <c r="E68" s="23" t="s">
        <v>45</v>
      </c>
      <c r="F68" s="22">
        <v>160</v>
      </c>
      <c r="G68" s="24">
        <v>0</v>
      </c>
      <c r="H68" s="24">
        <v>0.999305555555556</v>
      </c>
      <c r="I68" s="24"/>
      <c r="J68" s="24"/>
      <c r="K68" s="24"/>
      <c r="L68" s="24"/>
      <c r="M68" s="22" t="s">
        <v>41</v>
      </c>
      <c r="N68" s="25" t="s">
        <v>152</v>
      </c>
      <c r="O68" s="25" t="s">
        <v>152</v>
      </c>
      <c r="P68" s="25" t="s">
        <v>152</v>
      </c>
      <c r="Q68" s="25" t="s">
        <v>152</v>
      </c>
      <c r="R68" s="25" t="s">
        <v>152</v>
      </c>
      <c r="S68" s="25" t="s">
        <v>152</v>
      </c>
      <c r="T68" s="25" t="s">
        <v>152</v>
      </c>
      <c r="U68" s="25" t="s">
        <v>152</v>
      </c>
      <c r="V68" s="25" t="s">
        <v>152</v>
      </c>
      <c r="W68" s="25" t="s">
        <v>152</v>
      </c>
      <c r="X68" s="25" t="s">
        <v>152</v>
      </c>
      <c r="Y68" s="25" t="s">
        <v>152</v>
      </c>
      <c r="Z68" s="42">
        <v>1</v>
      </c>
      <c r="AA68" s="42">
        <v>12</v>
      </c>
      <c r="AB68" s="42"/>
      <c r="AC68" s="42"/>
      <c r="AD68" s="42"/>
      <c r="AE68" s="42"/>
      <c r="AF68" s="23" t="s">
        <v>44</v>
      </c>
      <c r="AG68" s="42">
        <v>1</v>
      </c>
      <c r="AH68" s="42">
        <v>12</v>
      </c>
      <c r="AI68" s="42"/>
      <c r="AJ68" s="42"/>
      <c r="AK68" s="42"/>
      <c r="AL68" s="42"/>
      <c r="AM68" s="42" t="b">
        <f t="shared" si="2"/>
        <v>1</v>
      </c>
      <c r="AN68" s="42" t="b">
        <f t="shared" si="5"/>
        <v>1</v>
      </c>
      <c r="AO68" s="42" t="b">
        <f t="shared" si="6"/>
        <v>1</v>
      </c>
    </row>
    <row r="69" spans="1:41" x14ac:dyDescent="0.35">
      <c r="A69" s="81"/>
      <c r="B69" s="22">
        <v>65</v>
      </c>
      <c r="C69" s="23" t="s">
        <v>33</v>
      </c>
      <c r="D69" s="23" t="s">
        <v>104</v>
      </c>
      <c r="E69" s="23" t="s">
        <v>46</v>
      </c>
      <c r="F69" s="22">
        <v>240</v>
      </c>
      <c r="G69" s="24">
        <v>0.66666666666666696</v>
      </c>
      <c r="H69" s="24">
        <v>0.999305555555556</v>
      </c>
      <c r="I69" s="24">
        <v>0</v>
      </c>
      <c r="J69" s="24">
        <v>0.375</v>
      </c>
      <c r="K69" s="24"/>
      <c r="L69" s="24"/>
      <c r="M69" s="22" t="s">
        <v>47</v>
      </c>
      <c r="N69" s="25" t="s">
        <v>152</v>
      </c>
      <c r="O69" s="25" t="s">
        <v>152</v>
      </c>
      <c r="P69" s="25" t="s">
        <v>152</v>
      </c>
      <c r="Q69" s="25" t="s">
        <v>152</v>
      </c>
      <c r="R69" s="25" t="s">
        <v>152</v>
      </c>
      <c r="S69" s="25" t="s">
        <v>152</v>
      </c>
      <c r="T69" s="25" t="s">
        <v>152</v>
      </c>
      <c r="U69" s="25" t="s">
        <v>152</v>
      </c>
      <c r="V69" s="25" t="s">
        <v>152</v>
      </c>
      <c r="W69" s="25" t="s">
        <v>152</v>
      </c>
      <c r="X69" s="25" t="s">
        <v>152</v>
      </c>
      <c r="Y69" s="25" t="s">
        <v>152</v>
      </c>
      <c r="Z69" s="42">
        <v>1</v>
      </c>
      <c r="AA69" s="42">
        <v>12</v>
      </c>
      <c r="AB69" s="42"/>
      <c r="AC69" s="42"/>
      <c r="AD69" s="42"/>
      <c r="AE69" s="42"/>
      <c r="AF69" s="23" t="s">
        <v>44</v>
      </c>
      <c r="AG69" s="42">
        <v>1</v>
      </c>
      <c r="AH69" s="42">
        <v>12</v>
      </c>
      <c r="AI69" s="42"/>
      <c r="AJ69" s="42"/>
      <c r="AK69" s="42"/>
      <c r="AL69" s="42"/>
      <c r="AM69" s="42" t="b">
        <f t="shared" si="2"/>
        <v>0</v>
      </c>
      <c r="AN69" s="42" t="b">
        <f t="shared" si="5"/>
        <v>0</v>
      </c>
      <c r="AO69" s="42" t="b">
        <f t="shared" si="6"/>
        <v>0</v>
      </c>
    </row>
    <row r="70" spans="1:41" x14ac:dyDescent="0.35">
      <c r="A70" s="81"/>
      <c r="B70" s="22">
        <v>66</v>
      </c>
      <c r="C70" s="23" t="s">
        <v>118</v>
      </c>
      <c r="D70" s="23" t="s">
        <v>119</v>
      </c>
      <c r="E70" s="23" t="s">
        <v>49</v>
      </c>
      <c r="F70" s="22">
        <v>300</v>
      </c>
      <c r="G70" s="24">
        <v>0</v>
      </c>
      <c r="H70" s="24">
        <v>0.999305555555556</v>
      </c>
      <c r="I70" s="24"/>
      <c r="J70" s="24"/>
      <c r="K70" s="24"/>
      <c r="L70" s="24"/>
      <c r="M70" s="22" t="s">
        <v>41</v>
      </c>
      <c r="N70" s="25" t="s">
        <v>152</v>
      </c>
      <c r="O70" s="25" t="s">
        <v>152</v>
      </c>
      <c r="P70" s="25" t="s">
        <v>152</v>
      </c>
      <c r="Q70" s="25" t="s">
        <v>152</v>
      </c>
      <c r="R70" s="25" t="s">
        <v>152</v>
      </c>
      <c r="S70" s="25" t="s">
        <v>152</v>
      </c>
      <c r="T70" s="25" t="s">
        <v>152</v>
      </c>
      <c r="U70" s="25" t="s">
        <v>152</v>
      </c>
      <c r="V70" s="25" t="s">
        <v>152</v>
      </c>
      <c r="W70" s="25" t="s">
        <v>152</v>
      </c>
      <c r="X70" s="25" t="s">
        <v>152</v>
      </c>
      <c r="Y70" s="25" t="s">
        <v>152</v>
      </c>
      <c r="Z70" s="42">
        <v>1</v>
      </c>
      <c r="AA70" s="42">
        <v>12</v>
      </c>
      <c r="AB70" s="42"/>
      <c r="AC70" s="42"/>
      <c r="AD70" s="42"/>
      <c r="AE70" s="42"/>
      <c r="AF70" s="23" t="s">
        <v>44</v>
      </c>
      <c r="AG70" s="42">
        <v>1</v>
      </c>
      <c r="AH70" s="42">
        <v>12</v>
      </c>
      <c r="AI70" s="42"/>
      <c r="AJ70" s="42"/>
      <c r="AK70" s="42"/>
      <c r="AL70" s="42"/>
      <c r="AM70" s="42" t="b">
        <f t="shared" ref="AM70:AM84" si="7">IF(AG$2=AN$3,AN70,AO70)</f>
        <v>1</v>
      </c>
      <c r="AN70" s="42" t="b">
        <f t="shared" si="5"/>
        <v>1</v>
      </c>
      <c r="AO70" s="42" t="b">
        <f t="shared" si="6"/>
        <v>1</v>
      </c>
    </row>
    <row r="71" spans="1:41" x14ac:dyDescent="0.35">
      <c r="A71" s="81"/>
      <c r="B71" s="22">
        <v>67</v>
      </c>
      <c r="C71" s="23" t="s">
        <v>121</v>
      </c>
      <c r="D71" s="23" t="s">
        <v>119</v>
      </c>
      <c r="E71" s="23" t="s">
        <v>49</v>
      </c>
      <c r="F71" s="26">
        <v>4000</v>
      </c>
      <c r="G71" s="24">
        <v>0.66666666666666696</v>
      </c>
      <c r="H71" s="24">
        <v>0.999305555555556</v>
      </c>
      <c r="I71" s="24">
        <v>0</v>
      </c>
      <c r="J71" s="24">
        <v>0.375</v>
      </c>
      <c r="K71" s="24"/>
      <c r="L71" s="24"/>
      <c r="M71" s="22" t="s">
        <v>47</v>
      </c>
      <c r="N71" s="25" t="s">
        <v>152</v>
      </c>
      <c r="O71" s="25" t="s">
        <v>152</v>
      </c>
      <c r="P71" s="25" t="s">
        <v>152</v>
      </c>
      <c r="Q71" s="25" t="s">
        <v>152</v>
      </c>
      <c r="R71" s="25" t="s">
        <v>152</v>
      </c>
      <c r="S71" s="25" t="s">
        <v>152</v>
      </c>
      <c r="T71" s="25" t="s">
        <v>152</v>
      </c>
      <c r="U71" s="25" t="s">
        <v>152</v>
      </c>
      <c r="V71" s="25" t="s">
        <v>152</v>
      </c>
      <c r="W71" s="25" t="s">
        <v>152</v>
      </c>
      <c r="X71" s="25" t="s">
        <v>152</v>
      </c>
      <c r="Y71" s="25" t="s">
        <v>152</v>
      </c>
      <c r="Z71" s="42">
        <v>1</v>
      </c>
      <c r="AA71" s="42">
        <v>12</v>
      </c>
      <c r="AB71" s="42"/>
      <c r="AC71" s="42"/>
      <c r="AD71" s="42"/>
      <c r="AE71" s="42"/>
      <c r="AF71" s="23" t="s">
        <v>44</v>
      </c>
      <c r="AG71" s="42">
        <v>1</v>
      </c>
      <c r="AH71" s="42">
        <v>12</v>
      </c>
      <c r="AI71" s="42"/>
      <c r="AJ71" s="42"/>
      <c r="AK71" s="42"/>
      <c r="AL71" s="42"/>
      <c r="AM71" s="42" t="b">
        <f t="shared" si="7"/>
        <v>0</v>
      </c>
      <c r="AN71" s="42" t="b">
        <f t="shared" si="5"/>
        <v>0</v>
      </c>
      <c r="AO71" s="42" t="b">
        <f t="shared" si="6"/>
        <v>0</v>
      </c>
    </row>
    <row r="72" spans="1:41" x14ac:dyDescent="0.35">
      <c r="A72" s="81"/>
      <c r="B72" s="22">
        <v>68</v>
      </c>
      <c r="C72" s="23" t="s">
        <v>123</v>
      </c>
      <c r="D72" s="23" t="s">
        <v>119</v>
      </c>
      <c r="E72" s="23" t="s">
        <v>40</v>
      </c>
      <c r="F72" s="26">
        <v>1300</v>
      </c>
      <c r="G72" s="24">
        <v>0</v>
      </c>
      <c r="H72" s="24">
        <v>0.999305555555556</v>
      </c>
      <c r="I72" s="24"/>
      <c r="J72" s="24"/>
      <c r="K72" s="24"/>
      <c r="L72" s="24"/>
      <c r="M72" s="22" t="s">
        <v>41</v>
      </c>
      <c r="N72" s="25" t="s">
        <v>152</v>
      </c>
      <c r="O72" s="25" t="s">
        <v>152</v>
      </c>
      <c r="P72" s="25" t="s">
        <v>152</v>
      </c>
      <c r="Q72" s="25" t="s">
        <v>152</v>
      </c>
      <c r="R72" s="25" t="s">
        <v>152</v>
      </c>
      <c r="S72" s="25" t="s">
        <v>152</v>
      </c>
      <c r="T72" s="25" t="s">
        <v>152</v>
      </c>
      <c r="U72" s="25" t="s">
        <v>152</v>
      </c>
      <c r="V72" s="25" t="s">
        <v>152</v>
      </c>
      <c r="W72" s="25" t="s">
        <v>152</v>
      </c>
      <c r="X72" s="25" t="s">
        <v>152</v>
      </c>
      <c r="Y72" s="25" t="s">
        <v>152</v>
      </c>
      <c r="Z72" s="42">
        <v>1</v>
      </c>
      <c r="AA72" s="42">
        <v>12</v>
      </c>
      <c r="AB72" s="42"/>
      <c r="AC72" s="42"/>
      <c r="AD72" s="42"/>
      <c r="AE72" s="42"/>
      <c r="AF72" s="23" t="s">
        <v>44</v>
      </c>
      <c r="AG72" s="42">
        <v>1</v>
      </c>
      <c r="AH72" s="42">
        <v>12</v>
      </c>
      <c r="AI72" s="42"/>
      <c r="AJ72" s="42"/>
      <c r="AK72" s="42"/>
      <c r="AL72" s="42"/>
      <c r="AM72" s="42" t="b">
        <f t="shared" si="7"/>
        <v>1</v>
      </c>
      <c r="AN72" s="42" t="b">
        <f t="shared" si="5"/>
        <v>1</v>
      </c>
      <c r="AO72" s="42" t="b">
        <f t="shared" si="6"/>
        <v>1</v>
      </c>
    </row>
    <row r="73" spans="1:41" x14ac:dyDescent="0.35">
      <c r="A73" s="81"/>
      <c r="B73" s="22">
        <v>69</v>
      </c>
      <c r="C73" s="23" t="s">
        <v>124</v>
      </c>
      <c r="D73" s="23" t="s">
        <v>119</v>
      </c>
      <c r="E73" s="23" t="s">
        <v>40</v>
      </c>
      <c r="F73" s="26">
        <v>1300</v>
      </c>
      <c r="G73" s="24">
        <v>0.375</v>
      </c>
      <c r="H73" s="24">
        <v>0.66666666666666696</v>
      </c>
      <c r="I73" s="24"/>
      <c r="J73" s="24"/>
      <c r="K73" s="24"/>
      <c r="L73" s="24"/>
      <c r="M73" s="22" t="s">
        <v>43</v>
      </c>
      <c r="N73" s="25" t="s">
        <v>152</v>
      </c>
      <c r="O73" s="25" t="s">
        <v>152</v>
      </c>
      <c r="P73" s="25" t="s">
        <v>152</v>
      </c>
      <c r="Q73" s="25" t="s">
        <v>152</v>
      </c>
      <c r="R73" s="25" t="s">
        <v>152</v>
      </c>
      <c r="S73" s="25" t="s">
        <v>152</v>
      </c>
      <c r="T73" s="25" t="s">
        <v>152</v>
      </c>
      <c r="U73" s="25" t="s">
        <v>152</v>
      </c>
      <c r="V73" s="25" t="s">
        <v>152</v>
      </c>
      <c r="W73" s="25" t="s">
        <v>152</v>
      </c>
      <c r="X73" s="25" t="s">
        <v>152</v>
      </c>
      <c r="Y73" s="25" t="s">
        <v>152</v>
      </c>
      <c r="Z73" s="42">
        <v>1</v>
      </c>
      <c r="AA73" s="42">
        <v>12</v>
      </c>
      <c r="AB73" s="42"/>
      <c r="AC73" s="42"/>
      <c r="AD73" s="42"/>
      <c r="AE73" s="42"/>
      <c r="AF73" s="23" t="s">
        <v>44</v>
      </c>
      <c r="AG73" s="42">
        <v>1</v>
      </c>
      <c r="AH73" s="42">
        <v>12</v>
      </c>
      <c r="AI73" s="42"/>
      <c r="AJ73" s="42"/>
      <c r="AK73" s="42"/>
      <c r="AL73" s="42"/>
      <c r="AM73" s="42" t="b">
        <f t="shared" si="7"/>
        <v>1</v>
      </c>
      <c r="AN73" s="42" t="b">
        <f t="shared" si="5"/>
        <v>1</v>
      </c>
      <c r="AO73" s="42" t="b">
        <f t="shared" si="6"/>
        <v>1</v>
      </c>
    </row>
    <row r="74" spans="1:41" x14ac:dyDescent="0.35">
      <c r="A74" s="81"/>
      <c r="B74" s="22">
        <v>70</v>
      </c>
      <c r="C74" s="23" t="s">
        <v>125</v>
      </c>
      <c r="D74" s="23" t="s">
        <v>104</v>
      </c>
      <c r="E74" s="23" t="s">
        <v>45</v>
      </c>
      <c r="F74" s="26">
        <v>4500</v>
      </c>
      <c r="G74" s="24">
        <v>0.375</v>
      </c>
      <c r="H74" s="24">
        <v>0.66666666666666696</v>
      </c>
      <c r="I74" s="24"/>
      <c r="J74" s="24"/>
      <c r="K74" s="24"/>
      <c r="L74" s="24"/>
      <c r="M74" s="22" t="s">
        <v>43</v>
      </c>
      <c r="N74" s="25" t="s">
        <v>152</v>
      </c>
      <c r="O74" s="25" t="s">
        <v>152</v>
      </c>
      <c r="P74" s="25" t="s">
        <v>152</v>
      </c>
      <c r="Q74" s="25" t="s">
        <v>152</v>
      </c>
      <c r="R74" s="25" t="s">
        <v>152</v>
      </c>
      <c r="S74" s="25" t="s">
        <v>152</v>
      </c>
      <c r="T74" s="25" t="s">
        <v>152</v>
      </c>
      <c r="U74" s="25" t="s">
        <v>152</v>
      </c>
      <c r="V74" s="25" t="s">
        <v>152</v>
      </c>
      <c r="W74" s="25" t="s">
        <v>152</v>
      </c>
      <c r="X74" s="25" t="s">
        <v>152</v>
      </c>
      <c r="Y74" s="25" t="s">
        <v>152</v>
      </c>
      <c r="Z74" s="42">
        <v>1</v>
      </c>
      <c r="AA74" s="42">
        <v>12</v>
      </c>
      <c r="AB74" s="42"/>
      <c r="AC74" s="42"/>
      <c r="AD74" s="42"/>
      <c r="AE74" s="42"/>
      <c r="AF74" s="23" t="s">
        <v>44</v>
      </c>
      <c r="AG74" s="42">
        <v>1</v>
      </c>
      <c r="AH74" s="42">
        <v>12</v>
      </c>
      <c r="AI74" s="42"/>
      <c r="AJ74" s="42"/>
      <c r="AK74" s="42"/>
      <c r="AL74" s="42"/>
      <c r="AM74" s="42" t="b">
        <f t="shared" si="7"/>
        <v>1</v>
      </c>
      <c r="AN74" s="42" t="b">
        <f t="shared" si="5"/>
        <v>1</v>
      </c>
      <c r="AO74" s="42" t="b">
        <f t="shared" si="6"/>
        <v>1</v>
      </c>
    </row>
    <row r="75" spans="1:41" x14ac:dyDescent="0.35">
      <c r="A75" s="81"/>
      <c r="B75" s="22">
        <v>71</v>
      </c>
      <c r="C75" s="23" t="s">
        <v>127</v>
      </c>
      <c r="D75" s="23" t="s">
        <v>104</v>
      </c>
      <c r="E75" s="23" t="s">
        <v>45</v>
      </c>
      <c r="F75" s="22">
        <v>400</v>
      </c>
      <c r="G75" s="24">
        <v>0.66666666666666696</v>
      </c>
      <c r="H75" s="24">
        <v>0.999305555555556</v>
      </c>
      <c r="I75" s="24">
        <v>0</v>
      </c>
      <c r="J75" s="24">
        <v>0.375</v>
      </c>
      <c r="K75" s="24"/>
      <c r="L75" s="24"/>
      <c r="M75" s="22" t="s">
        <v>47</v>
      </c>
      <c r="N75" s="25" t="s">
        <v>152</v>
      </c>
      <c r="O75" s="25" t="s">
        <v>152</v>
      </c>
      <c r="P75" s="25" t="s">
        <v>152</v>
      </c>
      <c r="Q75" s="25" t="s">
        <v>152</v>
      </c>
      <c r="R75" s="25" t="s">
        <v>152</v>
      </c>
      <c r="S75" s="25" t="s">
        <v>152</v>
      </c>
      <c r="T75" s="25" t="s">
        <v>152</v>
      </c>
      <c r="U75" s="25" t="s">
        <v>152</v>
      </c>
      <c r="V75" s="25" t="s">
        <v>152</v>
      </c>
      <c r="W75" s="25" t="s">
        <v>152</v>
      </c>
      <c r="X75" s="25" t="s">
        <v>152</v>
      </c>
      <c r="Y75" s="25" t="s">
        <v>152</v>
      </c>
      <c r="Z75" s="42">
        <v>1</v>
      </c>
      <c r="AA75" s="42">
        <v>12</v>
      </c>
      <c r="AB75" s="42"/>
      <c r="AC75" s="42"/>
      <c r="AD75" s="42"/>
      <c r="AE75" s="42"/>
      <c r="AF75" s="23" t="s">
        <v>44</v>
      </c>
      <c r="AG75" s="42">
        <v>1</v>
      </c>
      <c r="AH75" s="42">
        <v>12</v>
      </c>
      <c r="AI75" s="42"/>
      <c r="AJ75" s="42"/>
      <c r="AK75" s="42"/>
      <c r="AL75" s="42"/>
      <c r="AM75" s="42" t="b">
        <f t="shared" si="7"/>
        <v>0</v>
      </c>
      <c r="AN75" s="42" t="b">
        <f t="shared" si="5"/>
        <v>0</v>
      </c>
      <c r="AO75" s="42" t="b">
        <f t="shared" si="6"/>
        <v>0</v>
      </c>
    </row>
    <row r="76" spans="1:41" x14ac:dyDescent="0.35">
      <c r="A76" s="81"/>
      <c r="B76" s="22">
        <v>72</v>
      </c>
      <c r="C76" s="23" t="s">
        <v>34</v>
      </c>
      <c r="D76" s="23" t="s">
        <v>104</v>
      </c>
      <c r="E76" s="23" t="s">
        <v>45</v>
      </c>
      <c r="F76" s="22">
        <v>180</v>
      </c>
      <c r="G76" s="24">
        <v>0.375</v>
      </c>
      <c r="H76" s="24">
        <v>0.66666666666666696</v>
      </c>
      <c r="I76" s="24"/>
      <c r="J76" s="24"/>
      <c r="K76" s="24"/>
      <c r="L76" s="24"/>
      <c r="M76" s="22" t="s">
        <v>43</v>
      </c>
      <c r="N76" s="25" t="s">
        <v>152</v>
      </c>
      <c r="O76" s="25" t="s">
        <v>152</v>
      </c>
      <c r="P76" s="25" t="s">
        <v>152</v>
      </c>
      <c r="Q76" s="25" t="s">
        <v>152</v>
      </c>
      <c r="R76" s="25" t="s">
        <v>152</v>
      </c>
      <c r="S76" s="25" t="s">
        <v>152</v>
      </c>
      <c r="T76" s="25" t="s">
        <v>152</v>
      </c>
      <c r="U76" s="25" t="s">
        <v>152</v>
      </c>
      <c r="V76" s="25" t="s">
        <v>152</v>
      </c>
      <c r="W76" s="25" t="s">
        <v>152</v>
      </c>
      <c r="X76" s="25" t="s">
        <v>152</v>
      </c>
      <c r="Y76" s="25" t="s">
        <v>152</v>
      </c>
      <c r="Z76" s="42">
        <v>1</v>
      </c>
      <c r="AA76" s="42">
        <v>12</v>
      </c>
      <c r="AB76" s="42"/>
      <c r="AC76" s="42"/>
      <c r="AD76" s="42"/>
      <c r="AE76" s="42"/>
      <c r="AF76" s="23" t="s">
        <v>44</v>
      </c>
      <c r="AG76" s="42">
        <v>1</v>
      </c>
      <c r="AH76" s="42">
        <v>12</v>
      </c>
      <c r="AI76" s="42"/>
      <c r="AJ76" s="42"/>
      <c r="AK76" s="42"/>
      <c r="AL76" s="42"/>
      <c r="AM76" s="42" t="b">
        <f t="shared" si="7"/>
        <v>1</v>
      </c>
      <c r="AN76" s="42" t="b">
        <f t="shared" si="5"/>
        <v>1</v>
      </c>
      <c r="AO76" s="42" t="b">
        <f t="shared" si="6"/>
        <v>1</v>
      </c>
    </row>
    <row r="77" spans="1:41" x14ac:dyDescent="0.35">
      <c r="A77" s="81"/>
      <c r="B77" s="22">
        <v>73</v>
      </c>
      <c r="C77" s="23" t="s">
        <v>35</v>
      </c>
      <c r="D77" s="23" t="s">
        <v>104</v>
      </c>
      <c r="E77" s="23" t="s">
        <v>49</v>
      </c>
      <c r="F77" s="22">
        <v>400</v>
      </c>
      <c r="G77" s="24">
        <v>0</v>
      </c>
      <c r="H77" s="24">
        <v>0.999305555555556</v>
      </c>
      <c r="I77" s="24"/>
      <c r="J77" s="24"/>
      <c r="K77" s="24"/>
      <c r="L77" s="24"/>
      <c r="M77" s="22" t="s">
        <v>41</v>
      </c>
      <c r="N77" s="25" t="s">
        <v>152</v>
      </c>
      <c r="O77" s="25" t="s">
        <v>152</v>
      </c>
      <c r="P77" s="25" t="s">
        <v>152</v>
      </c>
      <c r="Q77" s="25" t="s">
        <v>152</v>
      </c>
      <c r="R77" s="25" t="s">
        <v>152</v>
      </c>
      <c r="S77" s="25" t="s">
        <v>152</v>
      </c>
      <c r="T77" s="25" t="s">
        <v>152</v>
      </c>
      <c r="U77" s="25" t="s">
        <v>152</v>
      </c>
      <c r="V77" s="25" t="s">
        <v>152</v>
      </c>
      <c r="W77" s="25" t="s">
        <v>152</v>
      </c>
      <c r="X77" s="25" t="s">
        <v>152</v>
      </c>
      <c r="Y77" s="25" t="s">
        <v>152</v>
      </c>
      <c r="Z77" s="42">
        <v>1</v>
      </c>
      <c r="AA77" s="42">
        <v>12</v>
      </c>
      <c r="AB77" s="42"/>
      <c r="AC77" s="42"/>
      <c r="AD77" s="42"/>
      <c r="AE77" s="42"/>
      <c r="AF77" s="23" t="s">
        <v>44</v>
      </c>
      <c r="AG77" s="42">
        <v>1</v>
      </c>
      <c r="AH77" s="42">
        <v>12</v>
      </c>
      <c r="AI77" s="42"/>
      <c r="AJ77" s="42"/>
      <c r="AK77" s="42"/>
      <c r="AL77" s="42"/>
      <c r="AM77" s="42" t="b">
        <f t="shared" si="7"/>
        <v>1</v>
      </c>
      <c r="AN77" s="42" t="b">
        <f t="shared" si="5"/>
        <v>1</v>
      </c>
      <c r="AO77" s="42" t="b">
        <f t="shared" si="6"/>
        <v>1</v>
      </c>
    </row>
    <row r="78" spans="1:41" x14ac:dyDescent="0.35">
      <c r="A78" s="81"/>
      <c r="B78" s="22">
        <v>74</v>
      </c>
      <c r="C78" s="23" t="s">
        <v>36</v>
      </c>
      <c r="D78" s="23" t="s">
        <v>104</v>
      </c>
      <c r="E78" s="23" t="s">
        <v>45</v>
      </c>
      <c r="F78" s="44">
        <v>200</v>
      </c>
      <c r="G78" s="24">
        <v>0.16666666666666699</v>
      </c>
      <c r="H78" s="24">
        <v>0.875</v>
      </c>
      <c r="I78" s="24"/>
      <c r="J78" s="24"/>
      <c r="K78" s="24"/>
      <c r="L78" s="24"/>
      <c r="M78" s="22" t="s">
        <v>98</v>
      </c>
      <c r="N78" s="25" t="s">
        <v>152</v>
      </c>
      <c r="O78" s="25" t="s">
        <v>152</v>
      </c>
      <c r="P78" s="25" t="s">
        <v>152</v>
      </c>
      <c r="Q78" s="25" t="s">
        <v>152</v>
      </c>
      <c r="R78" s="25" t="s">
        <v>152</v>
      </c>
      <c r="S78" s="25" t="s">
        <v>152</v>
      </c>
      <c r="T78" s="25" t="s">
        <v>152</v>
      </c>
      <c r="U78" s="25" t="s">
        <v>152</v>
      </c>
      <c r="V78" s="25" t="s">
        <v>152</v>
      </c>
      <c r="W78" s="25" t="s">
        <v>152</v>
      </c>
      <c r="X78" s="25" t="s">
        <v>152</v>
      </c>
      <c r="Y78" s="25" t="s">
        <v>152</v>
      </c>
      <c r="Z78" s="42">
        <v>1</v>
      </c>
      <c r="AA78" s="42">
        <v>12</v>
      </c>
      <c r="AB78" s="42"/>
      <c r="AC78" s="42"/>
      <c r="AD78" s="42"/>
      <c r="AE78" s="42"/>
      <c r="AF78" s="23" t="s">
        <v>44</v>
      </c>
      <c r="AG78" s="42">
        <v>1</v>
      </c>
      <c r="AH78" s="42">
        <v>12</v>
      </c>
      <c r="AI78" s="42"/>
      <c r="AJ78" s="42"/>
      <c r="AK78" s="42"/>
      <c r="AL78" s="42"/>
      <c r="AM78" s="42" t="b">
        <f t="shared" si="7"/>
        <v>1</v>
      </c>
      <c r="AN78" s="42" t="b">
        <f t="shared" si="5"/>
        <v>1</v>
      </c>
      <c r="AO78" s="42" t="b">
        <f t="shared" si="6"/>
        <v>1</v>
      </c>
    </row>
    <row r="79" spans="1:41" x14ac:dyDescent="0.35">
      <c r="A79" s="81"/>
      <c r="B79" s="22">
        <v>75</v>
      </c>
      <c r="C79" s="23" t="s">
        <v>37</v>
      </c>
      <c r="D79" s="23" t="s">
        <v>104</v>
      </c>
      <c r="E79" s="23" t="s">
        <v>45</v>
      </c>
      <c r="F79" s="44">
        <v>150</v>
      </c>
      <c r="G79" s="24">
        <v>0</v>
      </c>
      <c r="H79" s="24">
        <v>0.999305555555556</v>
      </c>
      <c r="I79" s="24"/>
      <c r="J79" s="24"/>
      <c r="K79" s="24"/>
      <c r="L79" s="24"/>
      <c r="M79" s="22" t="s">
        <v>41</v>
      </c>
      <c r="N79" s="25" t="s">
        <v>152</v>
      </c>
      <c r="O79" s="25" t="s">
        <v>152</v>
      </c>
      <c r="P79" s="25" t="s">
        <v>152</v>
      </c>
      <c r="Q79" s="25" t="s">
        <v>152</v>
      </c>
      <c r="R79" s="25" t="s">
        <v>152</v>
      </c>
      <c r="S79" s="25" t="s">
        <v>152</v>
      </c>
      <c r="T79" s="25" t="s">
        <v>152</v>
      </c>
      <c r="U79" s="25" t="s">
        <v>152</v>
      </c>
      <c r="V79" s="25" t="s">
        <v>152</v>
      </c>
      <c r="W79" s="25" t="s">
        <v>152</v>
      </c>
      <c r="X79" s="25" t="s">
        <v>152</v>
      </c>
      <c r="Y79" s="25" t="s">
        <v>152</v>
      </c>
      <c r="Z79" s="42">
        <v>1</v>
      </c>
      <c r="AA79" s="42">
        <v>12</v>
      </c>
      <c r="AB79" s="42"/>
      <c r="AC79" s="42"/>
      <c r="AD79" s="42"/>
      <c r="AE79" s="42"/>
      <c r="AF79" s="23" t="s">
        <v>44</v>
      </c>
      <c r="AG79" s="42">
        <v>1</v>
      </c>
      <c r="AH79" s="42">
        <v>12</v>
      </c>
      <c r="AI79" s="42"/>
      <c r="AJ79" s="42"/>
      <c r="AK79" s="42"/>
      <c r="AL79" s="42"/>
      <c r="AM79" s="42" t="b">
        <f t="shared" si="7"/>
        <v>1</v>
      </c>
      <c r="AN79" s="42" t="b">
        <f t="shared" si="5"/>
        <v>1</v>
      </c>
      <c r="AO79" s="42" t="b">
        <f t="shared" si="6"/>
        <v>1</v>
      </c>
    </row>
    <row r="80" spans="1:41" x14ac:dyDescent="0.35">
      <c r="A80" s="81"/>
      <c r="B80" s="22">
        <v>76</v>
      </c>
      <c r="C80" s="23" t="s">
        <v>129</v>
      </c>
      <c r="D80" s="23" t="s">
        <v>104</v>
      </c>
      <c r="E80" s="23" t="s">
        <v>58</v>
      </c>
      <c r="F80" s="44">
        <v>400</v>
      </c>
      <c r="G80" s="24">
        <v>0</v>
      </c>
      <c r="H80" s="24">
        <v>0.999305555555556</v>
      </c>
      <c r="I80" s="24"/>
      <c r="J80" s="24"/>
      <c r="K80" s="24"/>
      <c r="L80" s="24"/>
      <c r="M80" s="22" t="s">
        <v>41</v>
      </c>
      <c r="N80" s="25" t="s">
        <v>152</v>
      </c>
      <c r="O80" s="25" t="s">
        <v>152</v>
      </c>
      <c r="P80" s="25" t="s">
        <v>152</v>
      </c>
      <c r="Q80" s="25" t="s">
        <v>152</v>
      </c>
      <c r="R80" s="25" t="s">
        <v>152</v>
      </c>
      <c r="S80" s="25" t="s">
        <v>152</v>
      </c>
      <c r="T80" s="25" t="s">
        <v>152</v>
      </c>
      <c r="U80" s="25" t="s">
        <v>152</v>
      </c>
      <c r="V80" s="25" t="s">
        <v>152</v>
      </c>
      <c r="W80" s="25" t="s">
        <v>152</v>
      </c>
      <c r="X80" s="25" t="s">
        <v>152</v>
      </c>
      <c r="Y80" s="25" t="s">
        <v>152</v>
      </c>
      <c r="Z80" s="42">
        <v>1</v>
      </c>
      <c r="AA80" s="42">
        <v>12</v>
      </c>
      <c r="AB80" s="42"/>
      <c r="AC80" s="42"/>
      <c r="AD80" s="42"/>
      <c r="AE80" s="42"/>
      <c r="AF80" s="23" t="s">
        <v>44</v>
      </c>
      <c r="AG80" s="42">
        <v>1</v>
      </c>
      <c r="AH80" s="42">
        <v>12</v>
      </c>
      <c r="AI80" s="42"/>
      <c r="AJ80" s="42"/>
      <c r="AK80" s="42"/>
      <c r="AL80" s="42"/>
      <c r="AM80" s="42" t="b">
        <f t="shared" si="7"/>
        <v>1</v>
      </c>
      <c r="AN80" s="42" t="b">
        <f t="shared" si="5"/>
        <v>1</v>
      </c>
      <c r="AO80" s="42" t="b">
        <f t="shared" si="6"/>
        <v>1</v>
      </c>
    </row>
    <row r="81" spans="1:41" x14ac:dyDescent="0.35">
      <c r="A81" s="81"/>
      <c r="B81" s="22">
        <v>77</v>
      </c>
      <c r="C81" s="23" t="s">
        <v>131</v>
      </c>
      <c r="D81" s="23" t="s">
        <v>104</v>
      </c>
      <c r="E81" s="23" t="s">
        <v>49</v>
      </c>
      <c r="F81" s="44">
        <v>3000</v>
      </c>
      <c r="G81" s="24">
        <v>0</v>
      </c>
      <c r="H81" s="24">
        <v>0.999305555555556</v>
      </c>
      <c r="I81" s="24"/>
      <c r="J81" s="24"/>
      <c r="K81" s="24"/>
      <c r="L81" s="24"/>
      <c r="M81" s="22" t="s">
        <v>41</v>
      </c>
      <c r="N81" s="25" t="s">
        <v>152</v>
      </c>
      <c r="O81" s="25" t="s">
        <v>152</v>
      </c>
      <c r="P81" s="25" t="s">
        <v>152</v>
      </c>
      <c r="Q81" s="25" t="s">
        <v>152</v>
      </c>
      <c r="R81" s="25" t="s">
        <v>152</v>
      </c>
      <c r="S81" s="25" t="s">
        <v>152</v>
      </c>
      <c r="T81" s="25" t="s">
        <v>152</v>
      </c>
      <c r="U81" s="25" t="s">
        <v>152</v>
      </c>
      <c r="V81" s="25" t="s">
        <v>152</v>
      </c>
      <c r="W81" s="25" t="s">
        <v>152</v>
      </c>
      <c r="X81" s="25" t="s">
        <v>152</v>
      </c>
      <c r="Y81" s="25" t="s">
        <v>152</v>
      </c>
      <c r="Z81" s="42">
        <v>1</v>
      </c>
      <c r="AA81" s="42">
        <v>12</v>
      </c>
      <c r="AB81" s="42"/>
      <c r="AC81" s="42"/>
      <c r="AD81" s="42"/>
      <c r="AE81" s="42"/>
      <c r="AF81" s="23" t="s">
        <v>44</v>
      </c>
      <c r="AG81" s="42">
        <v>1</v>
      </c>
      <c r="AH81" s="42">
        <v>12</v>
      </c>
      <c r="AI81" s="42"/>
      <c r="AJ81" s="42"/>
      <c r="AK81" s="42"/>
      <c r="AL81" s="42"/>
      <c r="AM81" s="42" t="b">
        <f t="shared" si="7"/>
        <v>1</v>
      </c>
      <c r="AN81" s="42" t="b">
        <f t="shared" si="5"/>
        <v>1</v>
      </c>
      <c r="AO81" s="42" t="b">
        <f t="shared" si="6"/>
        <v>1</v>
      </c>
    </row>
    <row r="82" spans="1:41" x14ac:dyDescent="0.35">
      <c r="A82" s="81"/>
      <c r="B82" s="22">
        <v>78</v>
      </c>
      <c r="C82" s="23" t="s">
        <v>132</v>
      </c>
      <c r="D82" s="23" t="s">
        <v>104</v>
      </c>
      <c r="E82" s="23" t="s">
        <v>49</v>
      </c>
      <c r="F82" s="44">
        <v>800</v>
      </c>
      <c r="G82" s="24">
        <v>0</v>
      </c>
      <c r="H82" s="24">
        <v>0.999305555555556</v>
      </c>
      <c r="I82" s="24"/>
      <c r="J82" s="24"/>
      <c r="K82" s="24"/>
      <c r="L82" s="24"/>
      <c r="M82" s="22" t="s">
        <v>41</v>
      </c>
      <c r="N82" s="25" t="s">
        <v>152</v>
      </c>
      <c r="O82" s="25" t="s">
        <v>152</v>
      </c>
      <c r="P82" s="25" t="s">
        <v>152</v>
      </c>
      <c r="Q82" s="25" t="s">
        <v>152</v>
      </c>
      <c r="R82" s="25" t="s">
        <v>152</v>
      </c>
      <c r="S82" s="25" t="s">
        <v>152</v>
      </c>
      <c r="T82" s="25" t="s">
        <v>152</v>
      </c>
      <c r="U82" s="25" t="s">
        <v>152</v>
      </c>
      <c r="V82" s="25" t="s">
        <v>152</v>
      </c>
      <c r="W82" s="25" t="s">
        <v>152</v>
      </c>
      <c r="X82" s="25" t="s">
        <v>152</v>
      </c>
      <c r="Y82" s="25" t="s">
        <v>152</v>
      </c>
      <c r="Z82" s="42">
        <v>1</v>
      </c>
      <c r="AA82" s="42">
        <v>12</v>
      </c>
      <c r="AB82" s="42"/>
      <c r="AC82" s="42"/>
      <c r="AD82" s="42"/>
      <c r="AE82" s="42"/>
      <c r="AF82" s="23" t="s">
        <v>44</v>
      </c>
      <c r="AG82" s="42">
        <v>1</v>
      </c>
      <c r="AH82" s="42">
        <v>12</v>
      </c>
      <c r="AI82" s="42"/>
      <c r="AJ82" s="42"/>
      <c r="AK82" s="42"/>
      <c r="AL82" s="42"/>
      <c r="AM82" s="42" t="b">
        <f t="shared" si="7"/>
        <v>1</v>
      </c>
      <c r="AN82" s="42" t="b">
        <f t="shared" si="5"/>
        <v>1</v>
      </c>
      <c r="AO82" s="42" t="b">
        <f t="shared" si="6"/>
        <v>1</v>
      </c>
    </row>
    <row r="83" spans="1:41" x14ac:dyDescent="0.35">
      <c r="A83" s="81"/>
      <c r="B83" s="22">
        <v>79</v>
      </c>
      <c r="C83" s="23" t="s">
        <v>134</v>
      </c>
      <c r="D83" s="23" t="s">
        <v>104</v>
      </c>
      <c r="E83" s="23" t="s">
        <v>45</v>
      </c>
      <c r="F83" s="44">
        <v>15000</v>
      </c>
      <c r="G83" s="24">
        <v>0.875</v>
      </c>
      <c r="H83" s="24">
        <v>0.99930555555555556</v>
      </c>
      <c r="I83" s="24">
        <v>0</v>
      </c>
      <c r="J83" s="24">
        <v>0.16666666666666666</v>
      </c>
      <c r="K83" s="24"/>
      <c r="L83" s="24"/>
      <c r="M83" s="22" t="s">
        <v>59</v>
      </c>
      <c r="N83" s="25" t="s">
        <v>152</v>
      </c>
      <c r="O83" s="25" t="s">
        <v>152</v>
      </c>
      <c r="P83" s="25" t="s">
        <v>152</v>
      </c>
      <c r="Q83" s="25" t="s">
        <v>152</v>
      </c>
      <c r="R83" s="25" t="s">
        <v>152</v>
      </c>
      <c r="S83" s="25" t="s">
        <v>152</v>
      </c>
      <c r="T83" s="25" t="s">
        <v>152</v>
      </c>
      <c r="U83" s="25" t="s">
        <v>152</v>
      </c>
      <c r="V83" s="25" t="s">
        <v>152</v>
      </c>
      <c r="W83" s="25" t="s">
        <v>152</v>
      </c>
      <c r="X83" s="25" t="s">
        <v>152</v>
      </c>
      <c r="Y83" s="25" t="s">
        <v>152</v>
      </c>
      <c r="Z83" s="42">
        <v>1</v>
      </c>
      <c r="AA83" s="42">
        <v>12</v>
      </c>
      <c r="AB83" s="42"/>
      <c r="AC83" s="42"/>
      <c r="AD83" s="42"/>
      <c r="AE83" s="42"/>
      <c r="AF83" s="23" t="s">
        <v>44</v>
      </c>
      <c r="AG83" s="42">
        <v>1</v>
      </c>
      <c r="AH83" s="42">
        <v>12</v>
      </c>
      <c r="AI83" s="42"/>
      <c r="AJ83" s="42"/>
      <c r="AK83" s="42"/>
      <c r="AL83" s="42"/>
      <c r="AM83" s="42" t="b">
        <f t="shared" si="7"/>
        <v>0</v>
      </c>
      <c r="AN83" s="42" t="b">
        <f t="shared" si="5"/>
        <v>0</v>
      </c>
      <c r="AO83" s="42" t="b">
        <f t="shared" si="6"/>
        <v>0</v>
      </c>
    </row>
    <row r="84" spans="1:41" x14ac:dyDescent="0.35">
      <c r="A84" s="81"/>
      <c r="B84" s="22">
        <v>80</v>
      </c>
      <c r="C84" s="23" t="s">
        <v>135</v>
      </c>
      <c r="D84" s="23" t="s">
        <v>136</v>
      </c>
      <c r="E84" s="23" t="s">
        <v>88</v>
      </c>
      <c r="F84" s="44">
        <v>15000</v>
      </c>
      <c r="G84" s="24">
        <v>0</v>
      </c>
      <c r="H84" s="24">
        <v>0.999305555555556</v>
      </c>
      <c r="I84" s="24"/>
      <c r="J84" s="24"/>
      <c r="K84" s="24"/>
      <c r="L84" s="24"/>
      <c r="M84" s="22" t="s">
        <v>41</v>
      </c>
      <c r="N84" s="25" t="s">
        <v>152</v>
      </c>
      <c r="O84" s="25" t="s">
        <v>152</v>
      </c>
      <c r="P84" s="25" t="s">
        <v>152</v>
      </c>
      <c r="Q84" s="25" t="s">
        <v>152</v>
      </c>
      <c r="R84" s="25" t="s">
        <v>152</v>
      </c>
      <c r="S84" s="25" t="s">
        <v>152</v>
      </c>
      <c r="T84" s="25" t="s">
        <v>152</v>
      </c>
      <c r="U84" s="25" t="s">
        <v>152</v>
      </c>
      <c r="V84" s="25" t="s">
        <v>152</v>
      </c>
      <c r="W84" s="25" t="s">
        <v>152</v>
      </c>
      <c r="X84" s="25" t="s">
        <v>152</v>
      </c>
      <c r="Y84" s="25" t="s">
        <v>152</v>
      </c>
      <c r="Z84" s="42">
        <v>1</v>
      </c>
      <c r="AA84" s="42">
        <v>12</v>
      </c>
      <c r="AB84" s="42"/>
      <c r="AC84" s="42"/>
      <c r="AD84" s="42"/>
      <c r="AE84" s="42"/>
      <c r="AF84" s="23" t="s">
        <v>44</v>
      </c>
      <c r="AG84" s="42">
        <v>1</v>
      </c>
      <c r="AH84" s="42">
        <v>12</v>
      </c>
      <c r="AI84" s="42"/>
      <c r="AJ84" s="42"/>
      <c r="AK84" s="42"/>
      <c r="AL84" s="42"/>
      <c r="AM84" s="42" t="b">
        <f t="shared" si="7"/>
        <v>1</v>
      </c>
      <c r="AN84" s="42" t="b">
        <f t="shared" si="5"/>
        <v>1</v>
      </c>
      <c r="AO84" s="42" t="b">
        <f t="shared" si="6"/>
        <v>1</v>
      </c>
    </row>
  </sheetData>
  <autoFilter ref="A4:AO84" xr:uid="{ADC7B5FC-8BE3-4F52-8EC6-2C8BBE236B7E}">
    <sortState xmlns:xlrd2="http://schemas.microsoft.com/office/spreadsheetml/2017/richdata2" ref="A5:AO84">
      <sortCondition ref="B4:B84"/>
    </sortState>
  </autoFilter>
  <mergeCells count="7">
    <mergeCell ref="AG2:AL2"/>
    <mergeCell ref="G2:L2"/>
    <mergeCell ref="Z2:AE2"/>
    <mergeCell ref="N2:Y2"/>
    <mergeCell ref="C1:D2"/>
    <mergeCell ref="E1:F1"/>
    <mergeCell ref="E2:F2"/>
  </mergeCells>
  <conditionalFormatting sqref="N5:AE84">
    <cfRule type="cellIs" dxfId="24" priority="14" operator="equal">
      <formula>"B"</formula>
    </cfRule>
    <cfRule type="cellIs" dxfId="23" priority="19" operator="equal">
      <formula>"S"</formula>
    </cfRule>
    <cfRule type="cellIs" dxfId="20" priority="20" operator="equal">
      <formula>"N"</formula>
    </cfRule>
  </conditionalFormatting>
  <conditionalFormatting sqref="A5:AO84">
    <cfRule type="expression" dxfId="22" priority="26">
      <formula>$A5&lt;&gt;""</formula>
    </cfRule>
    <cfRule type="expression" dxfId="21" priority="27">
      <formula>$AM5=TRUE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Update_Time">
                <anchor moveWithCells="1" sizeWithCells="1">
                  <from>
                    <xdr:col>12</xdr:col>
                    <xdr:colOff>171450</xdr:colOff>
                    <xdr:row>0</xdr:row>
                    <xdr:rowOff>76200</xdr:rowOff>
                  </from>
                  <to>
                    <xdr:col>12</xdr:col>
                    <xdr:colOff>1924050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0EEC6-40AA-4F46-AEDF-619CF91E4E89}">
  <sheetPr codeName="Sheet5"/>
  <dimension ref="A1:AP85"/>
  <sheetViews>
    <sheetView workbookViewId="0">
      <pane ySplit="4" topLeftCell="A5" activePane="bottomLeft" state="frozen"/>
      <selection pane="bottomLeft"/>
    </sheetView>
  </sheetViews>
  <sheetFormatPr defaultRowHeight="18" x14ac:dyDescent="0.35"/>
  <cols>
    <col min="1" max="1" width="5.42578125" style="77" customWidth="1"/>
    <col min="2" max="2" width="4.5703125" style="3" customWidth="1"/>
    <col min="3" max="3" width="23" style="2" bestFit="1" customWidth="1"/>
    <col min="4" max="4" width="10.7109375" style="3" bestFit="1" customWidth="1"/>
    <col min="5" max="8" width="6.140625" style="4" hidden="1" customWidth="1"/>
    <col min="9" max="10" width="5" style="4" hidden="1" customWidth="1"/>
    <col min="11" max="11" width="30.85546875" style="3" bestFit="1" customWidth="1"/>
    <col min="12" max="23" width="4.140625" style="5" customWidth="1"/>
    <col min="24" max="29" width="3.28515625" style="6" hidden="1" customWidth="1"/>
    <col min="30" max="30" width="99" style="2" hidden="1" customWidth="1"/>
    <col min="31" max="36" width="3.28515625" style="6" hidden="1" customWidth="1"/>
    <col min="37" max="39" width="8.42578125" style="6" hidden="1" customWidth="1"/>
    <col min="40" max="40" width="2.85546875" style="2" customWidth="1"/>
    <col min="41" max="41" width="4.42578125" style="2" bestFit="1" customWidth="1"/>
    <col min="42" max="42" width="32.42578125" style="2" bestFit="1" customWidth="1"/>
    <col min="43" max="16384" width="9.140625" style="2"/>
  </cols>
  <sheetData>
    <row r="1" spans="1:42" ht="18" customHeight="1" thickTop="1" x14ac:dyDescent="0.35">
      <c r="A1" s="74"/>
      <c r="B1" s="10"/>
      <c r="C1" s="130" t="str">
        <f>CONCATENATE("Hemisphere: ", Welcome!D7)</f>
        <v>Hemisphere: North</v>
      </c>
      <c r="D1" s="130"/>
      <c r="E1" s="11"/>
      <c r="F1" s="11"/>
      <c r="G1" s="11"/>
      <c r="H1" s="11"/>
      <c r="I1" s="11"/>
      <c r="J1" s="11"/>
      <c r="K1" s="10" t="str">
        <f>Welcome!H18</f>
        <v>November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8"/>
      <c r="Y1" s="8"/>
      <c r="Z1" s="8"/>
      <c r="AA1" s="8"/>
      <c r="AB1" s="8"/>
      <c r="AC1" s="8"/>
      <c r="AD1" s="7"/>
      <c r="AE1" s="8"/>
      <c r="AF1" s="8"/>
      <c r="AG1" s="8"/>
      <c r="AH1" s="8"/>
      <c r="AI1" s="8"/>
      <c r="AJ1" s="8"/>
      <c r="AK1" s="8"/>
      <c r="AL1" s="8"/>
      <c r="AM1" s="8"/>
      <c r="AO1" s="139"/>
      <c r="AP1" s="140" t="s">
        <v>459</v>
      </c>
    </row>
    <row r="2" spans="1:42" ht="18" customHeight="1" x14ac:dyDescent="0.35">
      <c r="A2" s="75"/>
      <c r="B2" s="10"/>
      <c r="C2" s="131"/>
      <c r="D2" s="131"/>
      <c r="E2" s="138">
        <f>Welcome!I19</f>
        <v>0.5625</v>
      </c>
      <c r="F2" s="138"/>
      <c r="G2" s="138"/>
      <c r="H2" s="138"/>
      <c r="I2" s="138"/>
      <c r="J2" s="138"/>
      <c r="K2" s="13" t="str">
        <f>Welcome!H19</f>
        <v>1:00pm - 2:00pm</v>
      </c>
      <c r="L2" s="136" t="s">
        <v>295</v>
      </c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3">
        <f>Welcome!I18</f>
        <v>11</v>
      </c>
      <c r="Y2" s="133"/>
      <c r="Z2" s="133"/>
      <c r="AA2" s="133"/>
      <c r="AB2" s="133"/>
      <c r="AC2" s="133"/>
      <c r="AD2" s="7"/>
      <c r="AE2" s="133" t="str">
        <f>Welcome!D7</f>
        <v>North</v>
      </c>
      <c r="AF2" s="133"/>
      <c r="AG2" s="133"/>
      <c r="AH2" s="133"/>
      <c r="AI2" s="133"/>
      <c r="AJ2" s="133"/>
      <c r="AK2" s="69"/>
      <c r="AL2" s="69"/>
      <c r="AM2" s="69"/>
      <c r="AO2" s="141"/>
      <c r="AP2" s="142" t="s">
        <v>460</v>
      </c>
    </row>
    <row r="3" spans="1:42" s="18" customFormat="1" ht="18" customHeight="1" x14ac:dyDescent="0.35">
      <c r="A3" s="82"/>
      <c r="B3" s="45" t="s">
        <v>145</v>
      </c>
      <c r="C3" s="45" t="s">
        <v>454</v>
      </c>
      <c r="D3" s="45" t="s">
        <v>149</v>
      </c>
      <c r="E3" s="46"/>
      <c r="F3" s="46"/>
      <c r="G3" s="46"/>
      <c r="H3" s="46"/>
      <c r="I3" s="46"/>
      <c r="J3" s="46"/>
      <c r="K3" s="45" t="s">
        <v>150</v>
      </c>
      <c r="L3" s="47" t="s">
        <v>137</v>
      </c>
      <c r="M3" s="47" t="s">
        <v>138</v>
      </c>
      <c r="N3" s="47" t="s">
        <v>139</v>
      </c>
      <c r="O3" s="47" t="s">
        <v>140</v>
      </c>
      <c r="P3" s="47" t="s">
        <v>139</v>
      </c>
      <c r="Q3" s="47" t="s">
        <v>137</v>
      </c>
      <c r="R3" s="47" t="s">
        <v>137</v>
      </c>
      <c r="S3" s="47" t="s">
        <v>140</v>
      </c>
      <c r="T3" s="47" t="s">
        <v>141</v>
      </c>
      <c r="U3" s="47" t="s">
        <v>142</v>
      </c>
      <c r="V3" s="47" t="s">
        <v>143</v>
      </c>
      <c r="W3" s="47" t="s">
        <v>144</v>
      </c>
      <c r="X3" s="45"/>
      <c r="Y3" s="45"/>
      <c r="Z3" s="45"/>
      <c r="AA3" s="45"/>
      <c r="AB3" s="45"/>
      <c r="AC3" s="45"/>
      <c r="AD3" s="45" t="s">
        <v>151</v>
      </c>
      <c r="AE3" s="45"/>
      <c r="AF3" s="45"/>
      <c r="AG3" s="45"/>
      <c r="AH3" s="45"/>
      <c r="AI3" s="45"/>
      <c r="AJ3" s="45"/>
      <c r="AK3" s="45"/>
      <c r="AL3" s="45" t="s">
        <v>290</v>
      </c>
      <c r="AM3" s="45" t="s">
        <v>397</v>
      </c>
      <c r="AO3" s="143"/>
      <c r="AP3" s="144" t="s">
        <v>294</v>
      </c>
    </row>
    <row r="4" spans="1:42" s="28" customFormat="1" ht="18" customHeight="1" thickBot="1" x14ac:dyDescent="0.4">
      <c r="A4" s="83"/>
      <c r="B4" s="48" t="s">
        <v>145</v>
      </c>
      <c r="C4" s="48" t="s">
        <v>146</v>
      </c>
      <c r="D4" s="48" t="s">
        <v>149</v>
      </c>
      <c r="E4" s="49"/>
      <c r="F4" s="49"/>
      <c r="G4" s="49"/>
      <c r="H4" s="49"/>
      <c r="I4" s="49"/>
      <c r="J4" s="49"/>
      <c r="K4" s="48" t="s">
        <v>150</v>
      </c>
      <c r="L4" s="48" t="s">
        <v>137</v>
      </c>
      <c r="M4" s="48" t="s">
        <v>138</v>
      </c>
      <c r="N4" s="48" t="s">
        <v>139</v>
      </c>
      <c r="O4" s="48" t="s">
        <v>140</v>
      </c>
      <c r="P4" s="48" t="s">
        <v>139</v>
      </c>
      <c r="Q4" s="48" t="s">
        <v>137</v>
      </c>
      <c r="R4" s="48" t="s">
        <v>137</v>
      </c>
      <c r="S4" s="48" t="s">
        <v>140</v>
      </c>
      <c r="T4" s="48" t="s">
        <v>141</v>
      </c>
      <c r="U4" s="48" t="s">
        <v>142</v>
      </c>
      <c r="V4" s="48" t="s">
        <v>143</v>
      </c>
      <c r="W4" s="48" t="s">
        <v>144</v>
      </c>
      <c r="X4" s="48"/>
      <c r="Y4" s="48"/>
      <c r="Z4" s="48"/>
      <c r="AA4" s="48"/>
      <c r="AB4" s="48"/>
      <c r="AC4" s="48"/>
      <c r="AD4" s="48" t="s">
        <v>151</v>
      </c>
      <c r="AE4" s="48"/>
      <c r="AF4" s="48"/>
      <c r="AG4" s="48"/>
      <c r="AH4" s="48"/>
      <c r="AI4" s="48"/>
      <c r="AJ4" s="48"/>
      <c r="AK4" s="48"/>
      <c r="AL4" s="48"/>
      <c r="AM4" s="48"/>
      <c r="AO4" s="145" t="s">
        <v>438</v>
      </c>
      <c r="AP4" s="146" t="s">
        <v>452</v>
      </c>
    </row>
    <row r="5" spans="1:42" ht="18.75" thickTop="1" x14ac:dyDescent="0.35">
      <c r="A5" s="84"/>
      <c r="B5" s="50">
        <v>1</v>
      </c>
      <c r="C5" s="51" t="s">
        <v>296</v>
      </c>
      <c r="D5" s="50">
        <v>900</v>
      </c>
      <c r="E5" s="52">
        <v>0</v>
      </c>
      <c r="F5" s="52">
        <v>0.99930555555555556</v>
      </c>
      <c r="G5" s="52"/>
      <c r="H5" s="52"/>
      <c r="I5" s="52"/>
      <c r="J5" s="52"/>
      <c r="K5" s="50" t="s">
        <v>41</v>
      </c>
      <c r="L5" s="53" t="s">
        <v>152</v>
      </c>
      <c r="M5" s="53" t="s">
        <v>143</v>
      </c>
      <c r="N5" s="53" t="s">
        <v>143</v>
      </c>
      <c r="O5" s="53" t="s">
        <v>152</v>
      </c>
      <c r="P5" s="53" t="s">
        <v>152</v>
      </c>
      <c r="Q5" s="53" t="s">
        <v>152</v>
      </c>
      <c r="R5" s="53" t="s">
        <v>152</v>
      </c>
      <c r="S5" s="53" t="s">
        <v>141</v>
      </c>
      <c r="T5" s="53" t="s">
        <v>141</v>
      </c>
      <c r="U5" s="53" t="s">
        <v>152</v>
      </c>
      <c r="V5" s="53" t="s">
        <v>152</v>
      </c>
      <c r="W5" s="53" t="s">
        <v>152</v>
      </c>
      <c r="X5" s="56">
        <v>10</v>
      </c>
      <c r="Y5" s="56">
        <v>12</v>
      </c>
      <c r="Z5" s="56">
        <v>1</v>
      </c>
      <c r="AA5" s="56">
        <v>7</v>
      </c>
      <c r="AB5" s="56"/>
      <c r="AC5" s="56"/>
      <c r="AD5" s="51" t="s">
        <v>297</v>
      </c>
      <c r="AE5" s="56">
        <v>4</v>
      </c>
      <c r="AF5" s="56">
        <v>12</v>
      </c>
      <c r="AG5" s="56">
        <v>1</v>
      </c>
      <c r="AH5" s="56">
        <v>1</v>
      </c>
      <c r="AI5" s="56"/>
      <c r="AJ5" s="56"/>
      <c r="AK5" s="56" t="b">
        <f t="shared" ref="AK5:AK44" si="0">IF(AE$2=AL$3,AL5,AM5)</f>
        <v>1</v>
      </c>
      <c r="AL5" s="56" t="b">
        <f t="shared" ref="AL5:AL44" si="1">AND(OR(AND(X5&lt;=X$2,Y5&gt;=X$2), AND(Z5&lt;=X$2,AA5&gt;=X$2), AND(AB5&lt;=X$2,AC5&gt;=X$2)), OR(AND(E5&lt;=E$2, F5&gt;=E$2),AND(G5&lt;=E$2,H5&gt;=E$2),AND(I5&lt;=E$2,J5&gt;=E$2)))</f>
        <v>1</v>
      </c>
      <c r="AM5" s="56" t="b">
        <f t="shared" ref="AM5:AM44" si="2">AND(OR(AND(AE5&lt;=X$2,AF5&gt;=X$2), AND(AG5&lt;=X$2,AH5&gt;=X$2), AND(AI5&lt;=X$2,AJ5&gt;=X$2)), OR(AND(E5&lt;=E$2, F5&gt;=E$2),AND(G5&lt;=E$2,H5&gt;=E$2),AND(I5&lt;=E$2,J5&gt;=E$2)))</f>
        <v>1</v>
      </c>
    </row>
    <row r="6" spans="1:42" x14ac:dyDescent="0.35">
      <c r="A6" s="84"/>
      <c r="B6" s="50">
        <v>2</v>
      </c>
      <c r="C6" s="51" t="s">
        <v>298</v>
      </c>
      <c r="D6" s="50">
        <v>160</v>
      </c>
      <c r="E6" s="52">
        <v>0</v>
      </c>
      <c r="F6" s="52">
        <v>0.99930555555555556</v>
      </c>
      <c r="G6" s="52"/>
      <c r="H6" s="52"/>
      <c r="I6" s="52"/>
      <c r="J6" s="52"/>
      <c r="K6" s="50" t="s">
        <v>41</v>
      </c>
      <c r="L6" s="53" t="s">
        <v>152</v>
      </c>
      <c r="M6" s="53" t="s">
        <v>152</v>
      </c>
      <c r="N6" s="53" t="s">
        <v>152</v>
      </c>
      <c r="O6" s="53" t="s">
        <v>152</v>
      </c>
      <c r="P6" s="53" t="s">
        <v>152</v>
      </c>
      <c r="Q6" s="53" t="s">
        <v>152</v>
      </c>
      <c r="R6" s="53" t="s">
        <v>152</v>
      </c>
      <c r="S6" s="53" t="s">
        <v>152</v>
      </c>
      <c r="T6" s="53" t="s">
        <v>152</v>
      </c>
      <c r="U6" s="53" t="s">
        <v>152</v>
      </c>
      <c r="V6" s="53" t="s">
        <v>152</v>
      </c>
      <c r="W6" s="53" t="s">
        <v>152</v>
      </c>
      <c r="X6" s="56">
        <v>1</v>
      </c>
      <c r="Y6" s="56">
        <v>12</v>
      </c>
      <c r="Z6" s="56"/>
      <c r="AA6" s="56"/>
      <c r="AB6" s="56"/>
      <c r="AC6" s="56"/>
      <c r="AD6" s="51" t="s">
        <v>44</v>
      </c>
      <c r="AE6" s="56">
        <v>1</v>
      </c>
      <c r="AF6" s="56">
        <v>12</v>
      </c>
      <c r="AG6" s="56"/>
      <c r="AH6" s="56"/>
      <c r="AI6" s="56"/>
      <c r="AJ6" s="56"/>
      <c r="AK6" s="56" t="b">
        <f t="shared" si="0"/>
        <v>1</v>
      </c>
      <c r="AL6" s="56" t="b">
        <f t="shared" si="1"/>
        <v>1</v>
      </c>
      <c r="AM6" s="56" t="b">
        <f t="shared" si="2"/>
        <v>1</v>
      </c>
    </row>
    <row r="7" spans="1:42" x14ac:dyDescent="0.35">
      <c r="A7" s="84"/>
      <c r="B7" s="50">
        <v>3</v>
      </c>
      <c r="C7" s="51" t="s">
        <v>299</v>
      </c>
      <c r="D7" s="50">
        <v>160</v>
      </c>
      <c r="E7" s="52">
        <v>0</v>
      </c>
      <c r="F7" s="52">
        <v>0.999305555555556</v>
      </c>
      <c r="G7" s="52"/>
      <c r="H7" s="52"/>
      <c r="I7" s="52"/>
      <c r="J7" s="52"/>
      <c r="K7" s="50" t="s">
        <v>41</v>
      </c>
      <c r="L7" s="53" t="s">
        <v>143</v>
      </c>
      <c r="M7" s="53" t="s">
        <v>143</v>
      </c>
      <c r="N7" s="53" t="s">
        <v>143</v>
      </c>
      <c r="O7" s="53" t="s">
        <v>143</v>
      </c>
      <c r="P7" s="53" t="s">
        <v>141</v>
      </c>
      <c r="Q7" s="53" t="s">
        <v>141</v>
      </c>
      <c r="R7" s="53" t="s">
        <v>141</v>
      </c>
      <c r="S7" s="53" t="s">
        <v>141</v>
      </c>
      <c r="T7" s="53" t="s">
        <v>141</v>
      </c>
      <c r="U7" s="53" t="s">
        <v>141</v>
      </c>
      <c r="V7" s="53" t="s">
        <v>143</v>
      </c>
      <c r="W7" s="53" t="s">
        <v>143</v>
      </c>
      <c r="X7" s="56">
        <v>11</v>
      </c>
      <c r="Y7" s="56">
        <v>12</v>
      </c>
      <c r="Z7" s="56">
        <v>1</v>
      </c>
      <c r="AA7" s="56">
        <v>4</v>
      </c>
      <c r="AB7" s="56"/>
      <c r="AC7" s="56"/>
      <c r="AD7" s="51" t="s">
        <v>120</v>
      </c>
      <c r="AE7" s="56">
        <v>5</v>
      </c>
      <c r="AF7" s="56">
        <v>10</v>
      </c>
      <c r="AG7" s="56"/>
      <c r="AH7" s="56"/>
      <c r="AI7" s="56"/>
      <c r="AJ7" s="56"/>
      <c r="AK7" s="56" t="b">
        <f t="shared" si="0"/>
        <v>1</v>
      </c>
      <c r="AL7" s="56" t="b">
        <f t="shared" si="1"/>
        <v>1</v>
      </c>
      <c r="AM7" s="56" t="b">
        <f t="shared" si="2"/>
        <v>0</v>
      </c>
    </row>
    <row r="8" spans="1:42" x14ac:dyDescent="0.35">
      <c r="A8" s="84" t="s">
        <v>154</v>
      </c>
      <c r="B8" s="50">
        <v>4</v>
      </c>
      <c r="C8" s="51" t="s">
        <v>300</v>
      </c>
      <c r="D8" s="50">
        <v>240</v>
      </c>
      <c r="E8" s="52">
        <v>0.66666666666666663</v>
      </c>
      <c r="F8" s="52">
        <v>0.99930555555555556</v>
      </c>
      <c r="G8" s="52">
        <v>0</v>
      </c>
      <c r="H8" s="52">
        <v>0.375</v>
      </c>
      <c r="I8" s="52"/>
      <c r="J8" s="52"/>
      <c r="K8" s="50" t="s">
        <v>301</v>
      </c>
      <c r="L8" s="53" t="s">
        <v>143</v>
      </c>
      <c r="M8" s="53" t="s">
        <v>143</v>
      </c>
      <c r="N8" s="53"/>
      <c r="O8" s="53"/>
      <c r="P8" s="53" t="s">
        <v>141</v>
      </c>
      <c r="Q8" s="53" t="s">
        <v>141</v>
      </c>
      <c r="R8" s="53" t="s">
        <v>141</v>
      </c>
      <c r="S8" s="53" t="s">
        <v>141</v>
      </c>
      <c r="T8" s="53"/>
      <c r="U8" s="53"/>
      <c r="V8" s="53" t="s">
        <v>143</v>
      </c>
      <c r="W8" s="53" t="s">
        <v>143</v>
      </c>
      <c r="X8" s="56">
        <v>11</v>
      </c>
      <c r="Y8" s="56">
        <v>12</v>
      </c>
      <c r="Z8" s="56">
        <v>1</v>
      </c>
      <c r="AA8" s="56">
        <v>2</v>
      </c>
      <c r="AB8" s="56"/>
      <c r="AC8" s="56"/>
      <c r="AD8" s="51" t="s">
        <v>109</v>
      </c>
      <c r="AE8" s="56">
        <v>5</v>
      </c>
      <c r="AF8" s="56">
        <v>8</v>
      </c>
      <c r="AG8" s="56"/>
      <c r="AH8" s="56"/>
      <c r="AI8" s="56"/>
      <c r="AJ8" s="56"/>
      <c r="AK8" s="56" t="b">
        <f t="shared" si="0"/>
        <v>0</v>
      </c>
      <c r="AL8" s="56" t="b">
        <f t="shared" si="1"/>
        <v>0</v>
      </c>
      <c r="AM8" s="56" t="b">
        <f t="shared" si="2"/>
        <v>0</v>
      </c>
    </row>
    <row r="9" spans="1:42" x14ac:dyDescent="0.35">
      <c r="A9" s="84" t="s">
        <v>455</v>
      </c>
      <c r="B9" s="50">
        <v>5</v>
      </c>
      <c r="C9" s="51" t="s">
        <v>302</v>
      </c>
      <c r="D9" s="50">
        <v>300</v>
      </c>
      <c r="E9" s="52">
        <v>0</v>
      </c>
      <c r="F9" s="52">
        <v>0.999305555555556</v>
      </c>
      <c r="G9" s="52"/>
      <c r="H9" s="52"/>
      <c r="I9" s="52"/>
      <c r="J9" s="52"/>
      <c r="K9" s="50" t="s">
        <v>41</v>
      </c>
      <c r="L9" s="53" t="s">
        <v>152</v>
      </c>
      <c r="M9" s="53" t="s">
        <v>152</v>
      </c>
      <c r="N9" s="53" t="s">
        <v>152</v>
      </c>
      <c r="O9" s="53" t="s">
        <v>152</v>
      </c>
      <c r="P9" s="53" t="s">
        <v>152</v>
      </c>
      <c r="Q9" s="53" t="s">
        <v>152</v>
      </c>
      <c r="R9" s="53" t="s">
        <v>152</v>
      </c>
      <c r="S9" s="53" t="s">
        <v>152</v>
      </c>
      <c r="T9" s="53" t="s">
        <v>152</v>
      </c>
      <c r="U9" s="53" t="s">
        <v>152</v>
      </c>
      <c r="V9" s="53" t="s">
        <v>152</v>
      </c>
      <c r="W9" s="53" t="s">
        <v>152</v>
      </c>
      <c r="X9" s="56">
        <v>1</v>
      </c>
      <c r="Y9" s="56">
        <v>12</v>
      </c>
      <c r="Z9" s="56"/>
      <c r="AA9" s="56"/>
      <c r="AB9" s="56"/>
      <c r="AC9" s="56"/>
      <c r="AD9" s="51" t="s">
        <v>44</v>
      </c>
      <c r="AE9" s="56">
        <v>1</v>
      </c>
      <c r="AF9" s="56">
        <v>12</v>
      </c>
      <c r="AG9" s="56"/>
      <c r="AH9" s="56"/>
      <c r="AI9" s="56"/>
      <c r="AJ9" s="56"/>
      <c r="AK9" s="56" t="b">
        <f t="shared" si="0"/>
        <v>1</v>
      </c>
      <c r="AL9" s="56" t="b">
        <f t="shared" si="1"/>
        <v>1</v>
      </c>
      <c r="AM9" s="56" t="b">
        <f t="shared" si="2"/>
        <v>1</v>
      </c>
    </row>
    <row r="10" spans="1:42" x14ac:dyDescent="0.35">
      <c r="A10" s="84"/>
      <c r="B10" s="50">
        <v>6</v>
      </c>
      <c r="C10" s="51" t="s">
        <v>303</v>
      </c>
      <c r="D10" s="54">
        <v>4000</v>
      </c>
      <c r="E10" s="52">
        <v>0</v>
      </c>
      <c r="F10" s="52">
        <v>0.999305555555556</v>
      </c>
      <c r="G10" s="52"/>
      <c r="H10" s="52"/>
      <c r="I10" s="52"/>
      <c r="J10" s="52"/>
      <c r="K10" s="50" t="s">
        <v>41</v>
      </c>
      <c r="L10" s="53" t="s">
        <v>141</v>
      </c>
      <c r="M10" s="53" t="s">
        <v>141</v>
      </c>
      <c r="N10" s="53" t="s">
        <v>141</v>
      </c>
      <c r="O10" s="53"/>
      <c r="P10" s="53" t="s">
        <v>143</v>
      </c>
      <c r="Q10" s="53" t="s">
        <v>143</v>
      </c>
      <c r="R10" s="53" t="s">
        <v>143</v>
      </c>
      <c r="S10" s="53" t="s">
        <v>143</v>
      </c>
      <c r="T10" s="53" t="s">
        <v>143</v>
      </c>
      <c r="U10" s="53"/>
      <c r="V10" s="53" t="s">
        <v>141</v>
      </c>
      <c r="W10" s="53" t="s">
        <v>141</v>
      </c>
      <c r="X10" s="56">
        <v>5</v>
      </c>
      <c r="Y10" s="56">
        <v>9</v>
      </c>
      <c r="Z10" s="56"/>
      <c r="AA10" s="56"/>
      <c r="AB10" s="56"/>
      <c r="AC10" s="56"/>
      <c r="AD10" s="51" t="s">
        <v>92</v>
      </c>
      <c r="AE10" s="56">
        <v>11</v>
      </c>
      <c r="AF10" s="56">
        <v>12</v>
      </c>
      <c r="AG10" s="56">
        <v>1</v>
      </c>
      <c r="AH10" s="56">
        <v>3</v>
      </c>
      <c r="AI10" s="56"/>
      <c r="AJ10" s="56"/>
      <c r="AK10" s="56" t="b">
        <f t="shared" si="0"/>
        <v>0</v>
      </c>
      <c r="AL10" s="56" t="b">
        <f t="shared" si="1"/>
        <v>0</v>
      </c>
      <c r="AM10" s="56" t="b">
        <f t="shared" si="2"/>
        <v>1</v>
      </c>
    </row>
    <row r="11" spans="1:42" x14ac:dyDescent="0.35">
      <c r="A11" s="84"/>
      <c r="B11" s="50">
        <v>7</v>
      </c>
      <c r="C11" s="51" t="s">
        <v>453</v>
      </c>
      <c r="D11" s="54">
        <v>1300</v>
      </c>
      <c r="E11" s="52">
        <v>0.66666666666666663</v>
      </c>
      <c r="F11" s="52">
        <v>0.99930555555555556</v>
      </c>
      <c r="G11" s="52">
        <v>0</v>
      </c>
      <c r="H11" s="52">
        <v>0.375</v>
      </c>
      <c r="I11" s="52"/>
      <c r="J11" s="52"/>
      <c r="K11" s="50" t="s">
        <v>47</v>
      </c>
      <c r="L11" s="53" t="s">
        <v>141</v>
      </c>
      <c r="M11" s="53" t="s">
        <v>141</v>
      </c>
      <c r="N11" s="53" t="s">
        <v>141</v>
      </c>
      <c r="O11" s="53"/>
      <c r="P11" s="53" t="s">
        <v>143</v>
      </c>
      <c r="Q11" s="53" t="s">
        <v>143</v>
      </c>
      <c r="R11" s="53" t="s">
        <v>143</v>
      </c>
      <c r="S11" s="53" t="s">
        <v>143</v>
      </c>
      <c r="T11" s="53" t="s">
        <v>143</v>
      </c>
      <c r="U11" s="53"/>
      <c r="V11" s="53" t="s">
        <v>141</v>
      </c>
      <c r="W11" s="53" t="s">
        <v>141</v>
      </c>
      <c r="X11" s="56">
        <v>5</v>
      </c>
      <c r="Y11" s="56">
        <v>9</v>
      </c>
      <c r="Z11" s="56"/>
      <c r="AA11" s="56"/>
      <c r="AB11" s="56"/>
      <c r="AC11" s="56"/>
      <c r="AD11" s="51" t="s">
        <v>92</v>
      </c>
      <c r="AE11" s="56">
        <v>11</v>
      </c>
      <c r="AF11" s="56">
        <v>12</v>
      </c>
      <c r="AG11" s="56">
        <v>1</v>
      </c>
      <c r="AH11" s="56">
        <v>3</v>
      </c>
      <c r="AI11" s="56"/>
      <c r="AJ11" s="56"/>
      <c r="AK11" s="56" t="b">
        <f t="shared" si="0"/>
        <v>0</v>
      </c>
      <c r="AL11" s="56" t="b">
        <f t="shared" si="1"/>
        <v>0</v>
      </c>
      <c r="AM11" s="56" t="b">
        <f t="shared" si="2"/>
        <v>0</v>
      </c>
    </row>
    <row r="12" spans="1:42" x14ac:dyDescent="0.35">
      <c r="A12" s="84"/>
      <c r="B12" s="50">
        <v>8</v>
      </c>
      <c r="C12" s="51" t="s">
        <v>304</v>
      </c>
      <c r="D12" s="54">
        <v>1300</v>
      </c>
      <c r="E12" s="52">
        <v>0</v>
      </c>
      <c r="F12" s="52">
        <v>0.999305555555556</v>
      </c>
      <c r="G12" s="52"/>
      <c r="H12" s="52"/>
      <c r="I12" s="52"/>
      <c r="J12" s="52"/>
      <c r="K12" s="50" t="s">
        <v>41</v>
      </c>
      <c r="L12" s="53" t="s">
        <v>152</v>
      </c>
      <c r="M12" s="53" t="s">
        <v>152</v>
      </c>
      <c r="N12" s="53" t="s">
        <v>152</v>
      </c>
      <c r="O12" s="53" t="s">
        <v>152</v>
      </c>
      <c r="P12" s="53" t="s">
        <v>152</v>
      </c>
      <c r="Q12" s="53" t="s">
        <v>152</v>
      </c>
      <c r="R12" s="53" t="s">
        <v>152</v>
      </c>
      <c r="S12" s="53" t="s">
        <v>152</v>
      </c>
      <c r="T12" s="53" t="s">
        <v>152</v>
      </c>
      <c r="U12" s="53" t="s">
        <v>152</v>
      </c>
      <c r="V12" s="53" t="s">
        <v>152</v>
      </c>
      <c r="W12" s="53" t="s">
        <v>152</v>
      </c>
      <c r="X12" s="56">
        <v>1</v>
      </c>
      <c r="Y12" s="56">
        <v>12</v>
      </c>
      <c r="Z12" s="56"/>
      <c r="AA12" s="56"/>
      <c r="AB12" s="56"/>
      <c r="AC12" s="56"/>
      <c r="AD12" s="51" t="s">
        <v>44</v>
      </c>
      <c r="AE12" s="56">
        <v>1</v>
      </c>
      <c r="AF12" s="56">
        <v>12</v>
      </c>
      <c r="AG12" s="56"/>
      <c r="AH12" s="56"/>
      <c r="AI12" s="56"/>
      <c r="AJ12" s="56"/>
      <c r="AK12" s="56" t="b">
        <f t="shared" si="0"/>
        <v>1</v>
      </c>
      <c r="AL12" s="56" t="b">
        <f t="shared" si="1"/>
        <v>1</v>
      </c>
      <c r="AM12" s="56" t="b">
        <f t="shared" si="2"/>
        <v>1</v>
      </c>
    </row>
    <row r="13" spans="1:42" x14ac:dyDescent="0.35">
      <c r="A13" s="84"/>
      <c r="B13" s="50">
        <v>9</v>
      </c>
      <c r="C13" s="51" t="s">
        <v>305</v>
      </c>
      <c r="D13" s="54">
        <v>4500</v>
      </c>
      <c r="E13" s="52">
        <v>0</v>
      </c>
      <c r="F13" s="52">
        <v>0.999305555555556</v>
      </c>
      <c r="G13" s="52"/>
      <c r="H13" s="52"/>
      <c r="I13" s="52"/>
      <c r="J13" s="52"/>
      <c r="K13" s="50" t="s">
        <v>41</v>
      </c>
      <c r="L13" s="53" t="s">
        <v>141</v>
      </c>
      <c r="M13" s="53" t="s">
        <v>141</v>
      </c>
      <c r="N13" s="53" t="s">
        <v>141</v>
      </c>
      <c r="O13" s="53"/>
      <c r="P13" s="53"/>
      <c r="Q13" s="53"/>
      <c r="R13" s="53" t="s">
        <v>143</v>
      </c>
      <c r="S13" s="53" t="s">
        <v>143</v>
      </c>
      <c r="T13" s="53" t="s">
        <v>143</v>
      </c>
      <c r="U13" s="53"/>
      <c r="V13" s="53"/>
      <c r="W13" s="53"/>
      <c r="X13" s="56">
        <v>7</v>
      </c>
      <c r="Y13" s="56">
        <v>9</v>
      </c>
      <c r="Z13" s="56"/>
      <c r="AA13" s="56"/>
      <c r="AB13" s="56"/>
      <c r="AC13" s="56"/>
      <c r="AD13" s="51" t="s">
        <v>75</v>
      </c>
      <c r="AE13" s="56">
        <v>1</v>
      </c>
      <c r="AF13" s="56">
        <v>3</v>
      </c>
      <c r="AG13" s="56"/>
      <c r="AH13" s="56"/>
      <c r="AI13" s="56"/>
      <c r="AJ13" s="56"/>
      <c r="AK13" s="56" t="b">
        <f t="shared" si="0"/>
        <v>0</v>
      </c>
      <c r="AL13" s="56" t="b">
        <f t="shared" si="1"/>
        <v>0</v>
      </c>
      <c r="AM13" s="56" t="b">
        <f t="shared" si="2"/>
        <v>0</v>
      </c>
    </row>
    <row r="14" spans="1:42" x14ac:dyDescent="0.35">
      <c r="A14" s="84"/>
      <c r="B14" s="50">
        <v>10</v>
      </c>
      <c r="C14" s="51" t="s">
        <v>306</v>
      </c>
      <c r="D14" s="50">
        <v>300</v>
      </c>
      <c r="E14" s="52">
        <v>0</v>
      </c>
      <c r="F14" s="52">
        <v>0.999305555555556</v>
      </c>
      <c r="G14" s="52"/>
      <c r="H14" s="52"/>
      <c r="I14" s="52"/>
      <c r="J14" s="52"/>
      <c r="K14" s="50" t="s">
        <v>41</v>
      </c>
      <c r="L14" s="53" t="s">
        <v>152</v>
      </c>
      <c r="M14" s="53" t="s">
        <v>152</v>
      </c>
      <c r="N14" s="53" t="s">
        <v>152</v>
      </c>
      <c r="O14" s="53" t="s">
        <v>152</v>
      </c>
      <c r="P14" s="53" t="s">
        <v>152</v>
      </c>
      <c r="Q14" s="53" t="s">
        <v>152</v>
      </c>
      <c r="R14" s="53" t="s">
        <v>152</v>
      </c>
      <c r="S14" s="53" t="s">
        <v>152</v>
      </c>
      <c r="T14" s="53" t="s">
        <v>152</v>
      </c>
      <c r="U14" s="53" t="s">
        <v>152</v>
      </c>
      <c r="V14" s="53" t="s">
        <v>152</v>
      </c>
      <c r="W14" s="53" t="s">
        <v>152</v>
      </c>
      <c r="X14" s="56">
        <v>1</v>
      </c>
      <c r="Y14" s="56">
        <v>12</v>
      </c>
      <c r="Z14" s="56"/>
      <c r="AA14" s="56"/>
      <c r="AB14" s="56"/>
      <c r="AC14" s="56"/>
      <c r="AD14" s="51" t="s">
        <v>44</v>
      </c>
      <c r="AE14" s="56">
        <v>1</v>
      </c>
      <c r="AF14" s="56">
        <v>12</v>
      </c>
      <c r="AG14" s="56"/>
      <c r="AH14" s="56"/>
      <c r="AI14" s="56"/>
      <c r="AJ14" s="56"/>
      <c r="AK14" s="56" t="b">
        <f t="shared" si="0"/>
        <v>1</v>
      </c>
      <c r="AL14" s="56" t="b">
        <f t="shared" si="1"/>
        <v>1</v>
      </c>
      <c r="AM14" s="56" t="b">
        <f t="shared" si="2"/>
        <v>1</v>
      </c>
    </row>
    <row r="15" spans="1:42" x14ac:dyDescent="0.35">
      <c r="A15" s="84"/>
      <c r="B15" s="50">
        <v>11</v>
      </c>
      <c r="C15" s="51" t="s">
        <v>307</v>
      </c>
      <c r="D15" s="50">
        <v>200</v>
      </c>
      <c r="E15" s="52">
        <v>0</v>
      </c>
      <c r="F15" s="52">
        <v>0.999305555555556</v>
      </c>
      <c r="G15" s="52"/>
      <c r="H15" s="52"/>
      <c r="I15" s="52"/>
      <c r="J15" s="52"/>
      <c r="K15" s="50" t="s">
        <v>41</v>
      </c>
      <c r="L15" s="53" t="s">
        <v>152</v>
      </c>
      <c r="M15" s="53" t="s">
        <v>152</v>
      </c>
      <c r="N15" s="53" t="s">
        <v>152</v>
      </c>
      <c r="O15" s="53" t="s">
        <v>152</v>
      </c>
      <c r="P15" s="53" t="s">
        <v>152</v>
      </c>
      <c r="Q15" s="53" t="s">
        <v>152</v>
      </c>
      <c r="R15" s="53" t="s">
        <v>152</v>
      </c>
      <c r="S15" s="53" t="s">
        <v>152</v>
      </c>
      <c r="T15" s="53" t="s">
        <v>152</v>
      </c>
      <c r="U15" s="53" t="s">
        <v>152</v>
      </c>
      <c r="V15" s="53" t="s">
        <v>152</v>
      </c>
      <c r="W15" s="53" t="s">
        <v>152</v>
      </c>
      <c r="X15" s="56">
        <v>1</v>
      </c>
      <c r="Y15" s="56">
        <v>12</v>
      </c>
      <c r="Z15" s="56"/>
      <c r="AA15" s="56"/>
      <c r="AB15" s="56"/>
      <c r="AC15" s="56"/>
      <c r="AD15" s="51" t="s">
        <v>44</v>
      </c>
      <c r="AE15" s="56">
        <v>1</v>
      </c>
      <c r="AF15" s="56">
        <v>12</v>
      </c>
      <c r="AG15" s="56"/>
      <c r="AH15" s="56"/>
      <c r="AI15" s="56"/>
      <c r="AJ15" s="56"/>
      <c r="AK15" s="56" t="b">
        <f t="shared" si="0"/>
        <v>1</v>
      </c>
      <c r="AL15" s="56" t="b">
        <f t="shared" si="1"/>
        <v>1</v>
      </c>
      <c r="AM15" s="56" t="b">
        <f t="shared" si="2"/>
        <v>1</v>
      </c>
    </row>
    <row r="16" spans="1:42" x14ac:dyDescent="0.35">
      <c r="A16" s="84"/>
      <c r="B16" s="50">
        <v>12</v>
      </c>
      <c r="C16" s="51" t="s">
        <v>308</v>
      </c>
      <c r="D16" s="54">
        <v>3750</v>
      </c>
      <c r="E16" s="52">
        <v>0</v>
      </c>
      <c r="F16" s="52">
        <v>0.999305555555556</v>
      </c>
      <c r="G16" s="52"/>
      <c r="H16" s="52"/>
      <c r="I16" s="52"/>
      <c r="J16" s="52"/>
      <c r="K16" s="50" t="s">
        <v>41</v>
      </c>
      <c r="L16" s="53" t="s">
        <v>141</v>
      </c>
      <c r="M16" s="53" t="s">
        <v>141</v>
      </c>
      <c r="N16" s="53" t="s">
        <v>141</v>
      </c>
      <c r="O16" s="53" t="s">
        <v>141</v>
      </c>
      <c r="P16" s="53" t="s">
        <v>141</v>
      </c>
      <c r="Q16" s="53" t="s">
        <v>152</v>
      </c>
      <c r="R16" s="53" t="s">
        <v>143</v>
      </c>
      <c r="S16" s="53" t="s">
        <v>143</v>
      </c>
      <c r="T16" s="53" t="s">
        <v>143</v>
      </c>
      <c r="U16" s="53" t="s">
        <v>143</v>
      </c>
      <c r="V16" s="53" t="s">
        <v>143</v>
      </c>
      <c r="W16" s="53" t="s">
        <v>152</v>
      </c>
      <c r="X16" s="56">
        <v>6</v>
      </c>
      <c r="Y16" s="56">
        <v>12</v>
      </c>
      <c r="Z16" s="56"/>
      <c r="AA16" s="56"/>
      <c r="AB16" s="56"/>
      <c r="AC16" s="56"/>
      <c r="AD16" s="51" t="s">
        <v>309</v>
      </c>
      <c r="AE16" s="56">
        <v>12</v>
      </c>
      <c r="AF16" s="56">
        <v>12</v>
      </c>
      <c r="AG16" s="56">
        <v>1</v>
      </c>
      <c r="AH16" s="56">
        <v>6</v>
      </c>
      <c r="AI16" s="56"/>
      <c r="AJ16" s="56"/>
      <c r="AK16" s="56" t="b">
        <f t="shared" si="0"/>
        <v>1</v>
      </c>
      <c r="AL16" s="56" t="b">
        <f t="shared" si="1"/>
        <v>1</v>
      </c>
      <c r="AM16" s="56" t="b">
        <f t="shared" si="2"/>
        <v>0</v>
      </c>
    </row>
    <row r="17" spans="1:39" x14ac:dyDescent="0.35">
      <c r="A17" s="84"/>
      <c r="B17" s="50">
        <v>13</v>
      </c>
      <c r="C17" s="51" t="s">
        <v>310</v>
      </c>
      <c r="D17" s="54">
        <v>5000</v>
      </c>
      <c r="E17" s="52">
        <v>0</v>
      </c>
      <c r="F17" s="52">
        <v>0.999305555555556</v>
      </c>
      <c r="G17" s="52"/>
      <c r="H17" s="52"/>
      <c r="I17" s="52"/>
      <c r="J17" s="52"/>
      <c r="K17" s="50" t="s">
        <v>41</v>
      </c>
      <c r="L17" s="53" t="s">
        <v>143</v>
      </c>
      <c r="M17" s="53" t="s">
        <v>143</v>
      </c>
      <c r="N17" s="53" t="s">
        <v>141</v>
      </c>
      <c r="O17" s="53" t="s">
        <v>141</v>
      </c>
      <c r="P17" s="53" t="s">
        <v>141</v>
      </c>
      <c r="Q17" s="53" t="s">
        <v>141</v>
      </c>
      <c r="R17" s="53" t="s">
        <v>141</v>
      </c>
      <c r="S17" s="53" t="s">
        <v>141</v>
      </c>
      <c r="T17" s="53" t="s">
        <v>143</v>
      </c>
      <c r="U17" s="53" t="s">
        <v>143</v>
      </c>
      <c r="V17" s="53" t="s">
        <v>143</v>
      </c>
      <c r="W17" s="53" t="s">
        <v>143</v>
      </c>
      <c r="X17" s="56">
        <v>9</v>
      </c>
      <c r="Y17" s="56">
        <v>12</v>
      </c>
      <c r="Z17" s="56">
        <v>1</v>
      </c>
      <c r="AA17" s="56">
        <v>2</v>
      </c>
      <c r="AB17" s="56"/>
      <c r="AC17" s="56"/>
      <c r="AD17" s="51" t="s">
        <v>311</v>
      </c>
      <c r="AE17" s="56">
        <v>3</v>
      </c>
      <c r="AF17" s="56">
        <v>8</v>
      </c>
      <c r="AG17" s="56"/>
      <c r="AH17" s="56"/>
      <c r="AI17" s="56"/>
      <c r="AJ17" s="56"/>
      <c r="AK17" s="56" t="b">
        <f t="shared" si="0"/>
        <v>1</v>
      </c>
      <c r="AL17" s="56" t="b">
        <f t="shared" si="1"/>
        <v>1</v>
      </c>
      <c r="AM17" s="56" t="b">
        <f t="shared" si="2"/>
        <v>0</v>
      </c>
    </row>
    <row r="18" spans="1:39" x14ac:dyDescent="0.35">
      <c r="A18" s="84"/>
      <c r="B18" s="50">
        <v>14</v>
      </c>
      <c r="C18" s="51" t="s">
        <v>312</v>
      </c>
      <c r="D18" s="50">
        <v>100</v>
      </c>
      <c r="E18" s="52">
        <v>0</v>
      </c>
      <c r="F18" s="52">
        <v>0.999305555555556</v>
      </c>
      <c r="G18" s="52"/>
      <c r="H18" s="52"/>
      <c r="I18" s="52"/>
      <c r="J18" s="52"/>
      <c r="K18" s="50" t="s">
        <v>41</v>
      </c>
      <c r="L18" s="53" t="s">
        <v>152</v>
      </c>
      <c r="M18" s="53" t="s">
        <v>152</v>
      </c>
      <c r="N18" s="53" t="s">
        <v>152</v>
      </c>
      <c r="O18" s="53" t="s">
        <v>152</v>
      </c>
      <c r="P18" s="53" t="s">
        <v>152</v>
      </c>
      <c r="Q18" s="53" t="s">
        <v>152</v>
      </c>
      <c r="R18" s="53" t="s">
        <v>152</v>
      </c>
      <c r="S18" s="53" t="s">
        <v>152</v>
      </c>
      <c r="T18" s="53" t="s">
        <v>152</v>
      </c>
      <c r="U18" s="53" t="s">
        <v>152</v>
      </c>
      <c r="V18" s="53" t="s">
        <v>152</v>
      </c>
      <c r="W18" s="53" t="s">
        <v>152</v>
      </c>
      <c r="X18" s="56">
        <v>1</v>
      </c>
      <c r="Y18" s="56">
        <v>12</v>
      </c>
      <c r="Z18" s="56"/>
      <c r="AA18" s="56"/>
      <c r="AB18" s="56"/>
      <c r="AC18" s="56"/>
      <c r="AD18" s="51" t="s">
        <v>44</v>
      </c>
      <c r="AE18" s="56">
        <v>1</v>
      </c>
      <c r="AF18" s="56">
        <v>12</v>
      </c>
      <c r="AG18" s="56"/>
      <c r="AH18" s="56"/>
      <c r="AI18" s="56"/>
      <c r="AJ18" s="56"/>
      <c r="AK18" s="56" t="b">
        <f t="shared" si="0"/>
        <v>1</v>
      </c>
      <c r="AL18" s="56" t="b">
        <f t="shared" si="1"/>
        <v>1</v>
      </c>
      <c r="AM18" s="56" t="b">
        <f t="shared" si="2"/>
        <v>1</v>
      </c>
    </row>
    <row r="19" spans="1:39" x14ac:dyDescent="0.35">
      <c r="A19" s="84"/>
      <c r="B19" s="50">
        <v>15</v>
      </c>
      <c r="C19" s="51" t="s">
        <v>313</v>
      </c>
      <c r="D19" s="50">
        <v>120</v>
      </c>
      <c r="E19" s="52">
        <v>0</v>
      </c>
      <c r="F19" s="52">
        <v>0.999305555555556</v>
      </c>
      <c r="G19" s="52"/>
      <c r="H19" s="52"/>
      <c r="I19" s="52"/>
      <c r="J19" s="52"/>
      <c r="K19" s="50" t="s">
        <v>41</v>
      </c>
      <c r="L19" s="53" t="s">
        <v>152</v>
      </c>
      <c r="M19" s="53" t="s">
        <v>152</v>
      </c>
      <c r="N19" s="53" t="s">
        <v>152</v>
      </c>
      <c r="O19" s="53" t="s">
        <v>152</v>
      </c>
      <c r="P19" s="53" t="s">
        <v>152</v>
      </c>
      <c r="Q19" s="53" t="s">
        <v>152</v>
      </c>
      <c r="R19" s="53" t="s">
        <v>152</v>
      </c>
      <c r="S19" s="53" t="s">
        <v>152</v>
      </c>
      <c r="T19" s="53" t="s">
        <v>152</v>
      </c>
      <c r="U19" s="53" t="s">
        <v>152</v>
      </c>
      <c r="V19" s="53" t="s">
        <v>152</v>
      </c>
      <c r="W19" s="53" t="s">
        <v>152</v>
      </c>
      <c r="X19" s="56">
        <v>1</v>
      </c>
      <c r="Y19" s="56">
        <v>12</v>
      </c>
      <c r="Z19" s="56"/>
      <c r="AA19" s="56"/>
      <c r="AB19" s="56"/>
      <c r="AC19" s="56"/>
      <c r="AD19" s="51" t="s">
        <v>44</v>
      </c>
      <c r="AE19" s="56">
        <v>1</v>
      </c>
      <c r="AF19" s="56">
        <v>12</v>
      </c>
      <c r="AG19" s="56"/>
      <c r="AH19" s="56"/>
      <c r="AI19" s="56"/>
      <c r="AJ19" s="56"/>
      <c r="AK19" s="56" t="b">
        <f t="shared" si="0"/>
        <v>1</v>
      </c>
      <c r="AL19" s="56" t="b">
        <f t="shared" si="1"/>
        <v>1</v>
      </c>
      <c r="AM19" s="56" t="b">
        <f t="shared" si="2"/>
        <v>1</v>
      </c>
    </row>
    <row r="20" spans="1:39" x14ac:dyDescent="0.35">
      <c r="A20" s="84"/>
      <c r="B20" s="50">
        <v>16</v>
      </c>
      <c r="C20" s="51" t="s">
        <v>314</v>
      </c>
      <c r="D20" s="50">
        <v>400</v>
      </c>
      <c r="E20" s="52">
        <v>0</v>
      </c>
      <c r="F20" s="52">
        <v>0.999305555555556</v>
      </c>
      <c r="G20" s="52"/>
      <c r="H20" s="52"/>
      <c r="I20" s="52"/>
      <c r="J20" s="52"/>
      <c r="K20" s="50" t="s">
        <v>41</v>
      </c>
      <c r="L20" s="53"/>
      <c r="M20" s="53"/>
      <c r="N20" s="53" t="s">
        <v>152</v>
      </c>
      <c r="O20" s="53" t="s">
        <v>152</v>
      </c>
      <c r="P20" s="53" t="s">
        <v>152</v>
      </c>
      <c r="Q20" s="53" t="s">
        <v>141</v>
      </c>
      <c r="R20" s="53"/>
      <c r="S20" s="53"/>
      <c r="T20" s="53" t="s">
        <v>152</v>
      </c>
      <c r="U20" s="53" t="s">
        <v>152</v>
      </c>
      <c r="V20" s="53" t="s">
        <v>152</v>
      </c>
      <c r="W20" s="53" t="s">
        <v>143</v>
      </c>
      <c r="X20" s="56">
        <v>3</v>
      </c>
      <c r="Y20" s="56">
        <v>5</v>
      </c>
      <c r="Z20" s="56">
        <v>9</v>
      </c>
      <c r="AA20" s="56">
        <v>12</v>
      </c>
      <c r="AB20" s="56"/>
      <c r="AC20" s="56"/>
      <c r="AD20" s="51" t="s">
        <v>315</v>
      </c>
      <c r="AE20" s="56">
        <v>3</v>
      </c>
      <c r="AF20" s="56">
        <v>6</v>
      </c>
      <c r="AG20" s="56">
        <v>9</v>
      </c>
      <c r="AH20" s="56">
        <v>11</v>
      </c>
      <c r="AI20" s="56"/>
      <c r="AJ20" s="56"/>
      <c r="AK20" s="56" t="b">
        <f t="shared" si="0"/>
        <v>1</v>
      </c>
      <c r="AL20" s="56" t="b">
        <f t="shared" si="1"/>
        <v>1</v>
      </c>
      <c r="AM20" s="56" t="b">
        <f t="shared" si="2"/>
        <v>1</v>
      </c>
    </row>
    <row r="21" spans="1:39" x14ac:dyDescent="0.35">
      <c r="A21" s="84"/>
      <c r="B21" s="50">
        <v>17</v>
      </c>
      <c r="C21" s="51" t="s">
        <v>316</v>
      </c>
      <c r="D21" s="50">
        <v>400</v>
      </c>
      <c r="E21" s="52">
        <v>0.66666666666666696</v>
      </c>
      <c r="F21" s="52">
        <v>0.999305555555556</v>
      </c>
      <c r="G21" s="52">
        <v>0</v>
      </c>
      <c r="H21" s="52">
        <v>0.375</v>
      </c>
      <c r="I21" s="52"/>
      <c r="J21" s="52"/>
      <c r="K21" s="50" t="s">
        <v>47</v>
      </c>
      <c r="L21" s="53" t="s">
        <v>152</v>
      </c>
      <c r="M21" s="53" t="s">
        <v>141</v>
      </c>
      <c r="N21" s="53" t="s">
        <v>141</v>
      </c>
      <c r="O21" s="53" t="s">
        <v>141</v>
      </c>
      <c r="P21" s="53" t="s">
        <v>141</v>
      </c>
      <c r="Q21" s="53" t="s">
        <v>152</v>
      </c>
      <c r="R21" s="53" t="s">
        <v>152</v>
      </c>
      <c r="S21" s="53" t="s">
        <v>143</v>
      </c>
      <c r="T21" s="53" t="s">
        <v>143</v>
      </c>
      <c r="U21" s="53" t="s">
        <v>143</v>
      </c>
      <c r="V21" s="53" t="s">
        <v>143</v>
      </c>
      <c r="W21" s="53" t="s">
        <v>152</v>
      </c>
      <c r="X21" s="56">
        <v>6</v>
      </c>
      <c r="Y21" s="56">
        <v>12</v>
      </c>
      <c r="Z21" s="56">
        <v>1</v>
      </c>
      <c r="AA21" s="56">
        <v>1</v>
      </c>
      <c r="AB21" s="56"/>
      <c r="AC21" s="56"/>
      <c r="AD21" s="51" t="s">
        <v>317</v>
      </c>
      <c r="AE21" s="56">
        <v>12</v>
      </c>
      <c r="AF21" s="56">
        <v>12</v>
      </c>
      <c r="AG21" s="56">
        <v>1</v>
      </c>
      <c r="AH21" s="56">
        <v>7</v>
      </c>
      <c r="AI21" s="56"/>
      <c r="AJ21" s="56"/>
      <c r="AK21" s="56" t="b">
        <f t="shared" si="0"/>
        <v>0</v>
      </c>
      <c r="AL21" s="56" t="b">
        <f t="shared" si="1"/>
        <v>0</v>
      </c>
      <c r="AM21" s="56" t="b">
        <f t="shared" si="2"/>
        <v>0</v>
      </c>
    </row>
    <row r="22" spans="1:39" x14ac:dyDescent="0.35">
      <c r="A22" s="84"/>
      <c r="B22" s="50">
        <v>18</v>
      </c>
      <c r="C22" s="51" t="s">
        <v>318</v>
      </c>
      <c r="D22" s="50">
        <v>800</v>
      </c>
      <c r="E22" s="52">
        <v>0</v>
      </c>
      <c r="F22" s="52">
        <v>0.999305555555556</v>
      </c>
      <c r="G22" s="52"/>
      <c r="H22" s="52"/>
      <c r="I22" s="52"/>
      <c r="J22" s="52"/>
      <c r="K22" s="50" t="s">
        <v>41</v>
      </c>
      <c r="L22" s="53" t="s">
        <v>141</v>
      </c>
      <c r="M22" s="53" t="s">
        <v>141</v>
      </c>
      <c r="N22" s="53" t="s">
        <v>141</v>
      </c>
      <c r="O22" s="53"/>
      <c r="P22" s="53" t="s">
        <v>143</v>
      </c>
      <c r="Q22" s="53" t="s">
        <v>143</v>
      </c>
      <c r="R22" s="53" t="s">
        <v>143</v>
      </c>
      <c r="S22" s="53" t="s">
        <v>143</v>
      </c>
      <c r="T22" s="53" t="s">
        <v>143</v>
      </c>
      <c r="U22" s="53"/>
      <c r="V22" s="53" t="s">
        <v>141</v>
      </c>
      <c r="W22" s="53" t="s">
        <v>141</v>
      </c>
      <c r="X22" s="56">
        <v>5</v>
      </c>
      <c r="Y22" s="56">
        <v>9</v>
      </c>
      <c r="Z22" s="56"/>
      <c r="AA22" s="56"/>
      <c r="AB22" s="56"/>
      <c r="AC22" s="56"/>
      <c r="AD22" s="51" t="s">
        <v>92</v>
      </c>
      <c r="AE22" s="56">
        <v>11</v>
      </c>
      <c r="AF22" s="56">
        <v>12</v>
      </c>
      <c r="AG22" s="56">
        <v>1</v>
      </c>
      <c r="AH22" s="56">
        <v>3</v>
      </c>
      <c r="AI22" s="56"/>
      <c r="AJ22" s="56"/>
      <c r="AK22" s="56" t="b">
        <f t="shared" si="0"/>
        <v>0</v>
      </c>
      <c r="AL22" s="56" t="b">
        <f t="shared" si="1"/>
        <v>0</v>
      </c>
      <c r="AM22" s="56" t="b">
        <f t="shared" si="2"/>
        <v>1</v>
      </c>
    </row>
    <row r="23" spans="1:39" x14ac:dyDescent="0.35">
      <c r="A23" s="84"/>
      <c r="B23" s="50">
        <v>19</v>
      </c>
      <c r="C23" s="51" t="s">
        <v>319</v>
      </c>
      <c r="D23" s="54">
        <v>5500</v>
      </c>
      <c r="E23" s="52">
        <v>0.66666666666666696</v>
      </c>
      <c r="F23" s="52">
        <v>0.999305555555556</v>
      </c>
      <c r="G23" s="52">
        <v>0</v>
      </c>
      <c r="H23" s="52">
        <v>0.375</v>
      </c>
      <c r="I23" s="52"/>
      <c r="J23" s="52"/>
      <c r="K23" s="50" t="s">
        <v>47</v>
      </c>
      <c r="L23" s="53"/>
      <c r="M23" s="53"/>
      <c r="N23" s="53" t="s">
        <v>152</v>
      </c>
      <c r="O23" s="53" t="s">
        <v>152</v>
      </c>
      <c r="P23" s="53" t="s">
        <v>152</v>
      </c>
      <c r="Q23" s="53" t="s">
        <v>143</v>
      </c>
      <c r="R23" s="53"/>
      <c r="S23" s="53"/>
      <c r="T23" s="53" t="s">
        <v>152</v>
      </c>
      <c r="U23" s="53" t="s">
        <v>152</v>
      </c>
      <c r="V23" s="53" t="s">
        <v>152</v>
      </c>
      <c r="W23" s="53" t="s">
        <v>141</v>
      </c>
      <c r="X23" s="56">
        <v>3</v>
      </c>
      <c r="Y23" s="56">
        <v>6</v>
      </c>
      <c r="Z23" s="56">
        <v>9</v>
      </c>
      <c r="AA23" s="56">
        <v>11</v>
      </c>
      <c r="AB23" s="56"/>
      <c r="AC23" s="56"/>
      <c r="AD23" s="51" t="s">
        <v>320</v>
      </c>
      <c r="AE23" s="56">
        <v>9</v>
      </c>
      <c r="AF23" s="56">
        <v>12</v>
      </c>
      <c r="AG23" s="56">
        <v>3</v>
      </c>
      <c r="AH23" s="56">
        <v>5</v>
      </c>
      <c r="AI23" s="56"/>
      <c r="AJ23" s="56"/>
      <c r="AK23" s="56" t="b">
        <f t="shared" si="0"/>
        <v>0</v>
      </c>
      <c r="AL23" s="56" t="b">
        <f t="shared" si="1"/>
        <v>0</v>
      </c>
      <c r="AM23" s="56" t="b">
        <f t="shared" si="2"/>
        <v>0</v>
      </c>
    </row>
    <row r="24" spans="1:39" x14ac:dyDescent="0.35">
      <c r="A24" s="84"/>
      <c r="B24" s="50">
        <v>20</v>
      </c>
      <c r="C24" s="51" t="s">
        <v>321</v>
      </c>
      <c r="D24" s="50">
        <v>180</v>
      </c>
      <c r="E24" s="52">
        <v>0</v>
      </c>
      <c r="F24" s="52">
        <v>0.999305555555556</v>
      </c>
      <c r="G24" s="52"/>
      <c r="H24" s="52"/>
      <c r="I24" s="52"/>
      <c r="J24" s="52"/>
      <c r="K24" s="50" t="s">
        <v>41</v>
      </c>
      <c r="L24" s="53" t="s">
        <v>152</v>
      </c>
      <c r="M24" s="53" t="s">
        <v>152</v>
      </c>
      <c r="N24" s="53" t="s">
        <v>152</v>
      </c>
      <c r="O24" s="53" t="s">
        <v>152</v>
      </c>
      <c r="P24" s="53" t="s">
        <v>152</v>
      </c>
      <c r="Q24" s="53" t="s">
        <v>152</v>
      </c>
      <c r="R24" s="53" t="s">
        <v>152</v>
      </c>
      <c r="S24" s="53" t="s">
        <v>152</v>
      </c>
      <c r="T24" s="53" t="s">
        <v>152</v>
      </c>
      <c r="U24" s="53" t="s">
        <v>152</v>
      </c>
      <c r="V24" s="53" t="s">
        <v>152</v>
      </c>
      <c r="W24" s="53" t="s">
        <v>152</v>
      </c>
      <c r="X24" s="56">
        <v>1</v>
      </c>
      <c r="Y24" s="56">
        <v>12</v>
      </c>
      <c r="Z24" s="56"/>
      <c r="AA24" s="56"/>
      <c r="AB24" s="56"/>
      <c r="AC24" s="56"/>
      <c r="AD24" s="51" t="s">
        <v>44</v>
      </c>
      <c r="AE24" s="56">
        <v>1</v>
      </c>
      <c r="AF24" s="56">
        <v>12</v>
      </c>
      <c r="AG24" s="56"/>
      <c r="AH24" s="56"/>
      <c r="AI24" s="56"/>
      <c r="AJ24" s="56"/>
      <c r="AK24" s="56" t="b">
        <f t="shared" si="0"/>
        <v>1</v>
      </c>
      <c r="AL24" s="56" t="b">
        <f t="shared" si="1"/>
        <v>1</v>
      </c>
      <c r="AM24" s="56" t="b">
        <f t="shared" si="2"/>
        <v>1</v>
      </c>
    </row>
    <row r="25" spans="1:39" x14ac:dyDescent="0.35">
      <c r="A25" s="84"/>
      <c r="B25" s="50">
        <v>21</v>
      </c>
      <c r="C25" s="51" t="s">
        <v>322</v>
      </c>
      <c r="D25" s="50">
        <v>300</v>
      </c>
      <c r="E25" s="52">
        <v>0</v>
      </c>
      <c r="F25" s="52">
        <v>0.999305555555556</v>
      </c>
      <c r="G25" s="52"/>
      <c r="H25" s="52"/>
      <c r="I25" s="52"/>
      <c r="J25" s="52"/>
      <c r="K25" s="50" t="s">
        <v>41</v>
      </c>
      <c r="L25" s="53"/>
      <c r="M25" s="53"/>
      <c r="N25" s="53" t="s">
        <v>152</v>
      </c>
      <c r="O25" s="53" t="s">
        <v>152</v>
      </c>
      <c r="P25" s="53" t="s">
        <v>152</v>
      </c>
      <c r="Q25" s="53"/>
      <c r="R25" s="53"/>
      <c r="S25" s="53"/>
      <c r="T25" s="53" t="s">
        <v>152</v>
      </c>
      <c r="U25" s="53" t="s">
        <v>152</v>
      </c>
      <c r="V25" s="53" t="s">
        <v>152</v>
      </c>
      <c r="W25" s="53"/>
      <c r="X25" s="56">
        <v>3</v>
      </c>
      <c r="Y25" s="56">
        <v>5</v>
      </c>
      <c r="Z25" s="56">
        <v>9</v>
      </c>
      <c r="AA25" s="56">
        <v>11</v>
      </c>
      <c r="AB25" s="56"/>
      <c r="AC25" s="56"/>
      <c r="AD25" s="51" t="s">
        <v>323</v>
      </c>
      <c r="AE25" s="56">
        <v>9</v>
      </c>
      <c r="AF25" s="56">
        <v>11</v>
      </c>
      <c r="AG25" s="56"/>
      <c r="AH25" s="56"/>
      <c r="AI25" s="56"/>
      <c r="AJ25" s="56"/>
      <c r="AK25" s="56" t="b">
        <f t="shared" si="0"/>
        <v>1</v>
      </c>
      <c r="AL25" s="56" t="b">
        <f t="shared" si="1"/>
        <v>1</v>
      </c>
      <c r="AM25" s="56" t="b">
        <f t="shared" si="2"/>
        <v>1</v>
      </c>
    </row>
    <row r="26" spans="1:39" x14ac:dyDescent="0.35">
      <c r="A26" s="84"/>
      <c r="B26" s="50">
        <v>22</v>
      </c>
      <c r="C26" s="51" t="s">
        <v>324</v>
      </c>
      <c r="D26" s="50">
        <v>400</v>
      </c>
      <c r="E26" s="52">
        <v>0.66666666666666696</v>
      </c>
      <c r="F26" s="52">
        <v>0.999305555555556</v>
      </c>
      <c r="G26" s="52">
        <v>0</v>
      </c>
      <c r="H26" s="52">
        <v>0.375</v>
      </c>
      <c r="I26" s="52"/>
      <c r="J26" s="52"/>
      <c r="K26" s="50" t="s">
        <v>47</v>
      </c>
      <c r="L26" s="53" t="s">
        <v>141</v>
      </c>
      <c r="M26" s="53" t="s">
        <v>141</v>
      </c>
      <c r="N26" s="53"/>
      <c r="O26" s="53"/>
      <c r="P26" s="53" t="s">
        <v>143</v>
      </c>
      <c r="Q26" s="53" t="s">
        <v>143</v>
      </c>
      <c r="R26" s="53" t="s">
        <v>143</v>
      </c>
      <c r="S26" s="53" t="s">
        <v>143</v>
      </c>
      <c r="T26" s="53"/>
      <c r="U26" s="53"/>
      <c r="V26" s="53" t="s">
        <v>141</v>
      </c>
      <c r="W26" s="53" t="s">
        <v>141</v>
      </c>
      <c r="X26" s="56">
        <v>5</v>
      </c>
      <c r="Y26" s="56">
        <v>8</v>
      </c>
      <c r="Z26" s="56"/>
      <c r="AA26" s="56"/>
      <c r="AB26" s="56"/>
      <c r="AC26" s="56"/>
      <c r="AD26" s="51" t="s">
        <v>170</v>
      </c>
      <c r="AE26" s="56">
        <v>11</v>
      </c>
      <c r="AF26" s="56">
        <v>12</v>
      </c>
      <c r="AG26" s="56">
        <v>1</v>
      </c>
      <c r="AH26" s="56">
        <v>2</v>
      </c>
      <c r="AI26" s="56"/>
      <c r="AJ26" s="56"/>
      <c r="AK26" s="56" t="b">
        <f t="shared" si="0"/>
        <v>0</v>
      </c>
      <c r="AL26" s="56" t="b">
        <f t="shared" si="1"/>
        <v>0</v>
      </c>
      <c r="AM26" s="56" t="b">
        <f t="shared" si="2"/>
        <v>0</v>
      </c>
    </row>
    <row r="27" spans="1:39" x14ac:dyDescent="0.35">
      <c r="A27" s="84"/>
      <c r="B27" s="50">
        <v>23</v>
      </c>
      <c r="C27" s="51" t="s">
        <v>325</v>
      </c>
      <c r="D27" s="50">
        <v>800</v>
      </c>
      <c r="E27" s="52">
        <v>0.875</v>
      </c>
      <c r="F27" s="52">
        <v>0.99930555555555556</v>
      </c>
      <c r="G27" s="52">
        <v>0</v>
      </c>
      <c r="H27" s="52">
        <v>0.16666666666666666</v>
      </c>
      <c r="I27" s="52"/>
      <c r="J27" s="52"/>
      <c r="K27" s="50" t="s">
        <v>59</v>
      </c>
      <c r="L27" s="53"/>
      <c r="M27" s="53"/>
      <c r="N27" s="53" t="s">
        <v>143</v>
      </c>
      <c r="O27" s="53" t="s">
        <v>143</v>
      </c>
      <c r="P27" s="53" t="s">
        <v>143</v>
      </c>
      <c r="Q27" s="53" t="s">
        <v>143</v>
      </c>
      <c r="R27" s="53"/>
      <c r="S27" s="53"/>
      <c r="T27" s="53" t="s">
        <v>141</v>
      </c>
      <c r="U27" s="53" t="s">
        <v>141</v>
      </c>
      <c r="V27" s="53" t="s">
        <v>141</v>
      </c>
      <c r="W27" s="53" t="s">
        <v>141</v>
      </c>
      <c r="X27" s="56">
        <v>3</v>
      </c>
      <c r="Y27" s="56">
        <v>6</v>
      </c>
      <c r="Z27" s="56"/>
      <c r="AA27" s="56"/>
      <c r="AB27" s="56"/>
      <c r="AC27" s="56"/>
      <c r="AD27" s="51" t="s">
        <v>165</v>
      </c>
      <c r="AE27" s="56">
        <v>9</v>
      </c>
      <c r="AF27" s="56">
        <v>12</v>
      </c>
      <c r="AG27" s="56"/>
      <c r="AH27" s="56"/>
      <c r="AI27" s="56"/>
      <c r="AJ27" s="56"/>
      <c r="AK27" s="56" t="b">
        <f t="shared" si="0"/>
        <v>0</v>
      </c>
      <c r="AL27" s="56" t="b">
        <f t="shared" si="1"/>
        <v>0</v>
      </c>
      <c r="AM27" s="56" t="b">
        <f t="shared" si="2"/>
        <v>0</v>
      </c>
    </row>
    <row r="28" spans="1:39" x14ac:dyDescent="0.35">
      <c r="A28" s="84"/>
      <c r="B28" s="50">
        <v>24</v>
      </c>
      <c r="C28" s="51" t="s">
        <v>326</v>
      </c>
      <c r="D28" s="54">
        <v>1800</v>
      </c>
      <c r="E28" s="52">
        <v>0</v>
      </c>
      <c r="F28" s="52">
        <v>0.999305555555556</v>
      </c>
      <c r="G28" s="52"/>
      <c r="H28" s="52"/>
      <c r="I28" s="52"/>
      <c r="J28" s="52"/>
      <c r="K28" s="50" t="s">
        <v>41</v>
      </c>
      <c r="L28" s="53" t="s">
        <v>141</v>
      </c>
      <c r="M28" s="53" t="s">
        <v>141</v>
      </c>
      <c r="N28" s="53" t="s">
        <v>141</v>
      </c>
      <c r="O28" s="53" t="s">
        <v>141</v>
      </c>
      <c r="P28" s="53" t="s">
        <v>141</v>
      </c>
      <c r="Q28" s="53" t="s">
        <v>143</v>
      </c>
      <c r="R28" s="53" t="s">
        <v>143</v>
      </c>
      <c r="S28" s="53" t="s">
        <v>143</v>
      </c>
      <c r="T28" s="53" t="s">
        <v>143</v>
      </c>
      <c r="U28" s="53" t="s">
        <v>143</v>
      </c>
      <c r="V28" s="53" t="s">
        <v>143</v>
      </c>
      <c r="W28" s="53" t="s">
        <v>141</v>
      </c>
      <c r="X28" s="56">
        <v>6</v>
      </c>
      <c r="Y28" s="56">
        <v>11</v>
      </c>
      <c r="Z28" s="56"/>
      <c r="AA28" s="56"/>
      <c r="AB28" s="56"/>
      <c r="AC28" s="56"/>
      <c r="AD28" s="51" t="s">
        <v>327</v>
      </c>
      <c r="AE28" s="56">
        <v>12</v>
      </c>
      <c r="AF28" s="56">
        <v>12</v>
      </c>
      <c r="AG28" s="56">
        <v>1</v>
      </c>
      <c r="AH28" s="56">
        <v>5</v>
      </c>
      <c r="AI28" s="56"/>
      <c r="AJ28" s="56"/>
      <c r="AK28" s="56" t="b">
        <f t="shared" si="0"/>
        <v>1</v>
      </c>
      <c r="AL28" s="56" t="b">
        <f t="shared" si="1"/>
        <v>1</v>
      </c>
      <c r="AM28" s="56" t="b">
        <f t="shared" si="2"/>
        <v>0</v>
      </c>
    </row>
    <row r="29" spans="1:39" x14ac:dyDescent="0.35">
      <c r="A29" s="84"/>
      <c r="B29" s="50">
        <v>25</v>
      </c>
      <c r="C29" s="51" t="s">
        <v>328</v>
      </c>
      <c r="D29" s="50">
        <v>500</v>
      </c>
      <c r="E29" s="52">
        <v>0</v>
      </c>
      <c r="F29" s="52">
        <v>0.999305555555556</v>
      </c>
      <c r="G29" s="52"/>
      <c r="H29" s="52"/>
      <c r="I29" s="52"/>
      <c r="J29" s="52"/>
      <c r="K29" s="50" t="s">
        <v>41</v>
      </c>
      <c r="L29" s="53" t="s">
        <v>143</v>
      </c>
      <c r="M29" s="53" t="s">
        <v>143</v>
      </c>
      <c r="N29" s="53" t="s">
        <v>143</v>
      </c>
      <c r="O29" s="53" t="s">
        <v>143</v>
      </c>
      <c r="P29" s="53" t="s">
        <v>152</v>
      </c>
      <c r="Q29" s="53" t="s">
        <v>141</v>
      </c>
      <c r="R29" s="53" t="s">
        <v>141</v>
      </c>
      <c r="S29" s="53" t="s">
        <v>141</v>
      </c>
      <c r="T29" s="53" t="s">
        <v>141</v>
      </c>
      <c r="U29" s="53" t="s">
        <v>141</v>
      </c>
      <c r="V29" s="53" t="s">
        <v>152</v>
      </c>
      <c r="W29" s="53" t="s">
        <v>143</v>
      </c>
      <c r="X29" s="56">
        <v>11</v>
      </c>
      <c r="Y29" s="56">
        <v>12</v>
      </c>
      <c r="Z29" s="56">
        <v>1</v>
      </c>
      <c r="AA29" s="56">
        <v>5</v>
      </c>
      <c r="AB29" s="56"/>
      <c r="AC29" s="56"/>
      <c r="AD29" s="51" t="s">
        <v>221</v>
      </c>
      <c r="AE29" s="56">
        <v>5</v>
      </c>
      <c r="AF29" s="56">
        <v>11</v>
      </c>
      <c r="AG29" s="56"/>
      <c r="AH29" s="56"/>
      <c r="AI29" s="56"/>
      <c r="AJ29" s="56"/>
      <c r="AK29" s="56" t="b">
        <f t="shared" si="0"/>
        <v>1</v>
      </c>
      <c r="AL29" s="56" t="b">
        <f t="shared" si="1"/>
        <v>1</v>
      </c>
      <c r="AM29" s="56" t="b">
        <f t="shared" si="2"/>
        <v>1</v>
      </c>
    </row>
    <row r="30" spans="1:39" x14ac:dyDescent="0.35">
      <c r="A30" s="84"/>
      <c r="B30" s="50">
        <v>26</v>
      </c>
      <c r="C30" s="51" t="s">
        <v>329</v>
      </c>
      <c r="D30" s="50">
        <v>900</v>
      </c>
      <c r="E30" s="52">
        <v>0</v>
      </c>
      <c r="F30" s="52">
        <v>0.999305555555556</v>
      </c>
      <c r="G30" s="52"/>
      <c r="H30" s="52"/>
      <c r="I30" s="52"/>
      <c r="J30" s="52"/>
      <c r="K30" s="50" t="s">
        <v>41</v>
      </c>
      <c r="L30" s="53" t="s">
        <v>143</v>
      </c>
      <c r="M30" s="53" t="s">
        <v>143</v>
      </c>
      <c r="N30" s="53" t="s">
        <v>143</v>
      </c>
      <c r="O30" s="53" t="s">
        <v>143</v>
      </c>
      <c r="P30" s="53" t="s">
        <v>141</v>
      </c>
      <c r="Q30" s="53" t="s">
        <v>141</v>
      </c>
      <c r="R30" s="53" t="s">
        <v>141</v>
      </c>
      <c r="S30" s="53" t="s">
        <v>141</v>
      </c>
      <c r="T30" s="53" t="s">
        <v>141</v>
      </c>
      <c r="U30" s="53" t="s">
        <v>141</v>
      </c>
      <c r="V30" s="53" t="s">
        <v>143</v>
      </c>
      <c r="W30" s="53" t="s">
        <v>143</v>
      </c>
      <c r="X30" s="56">
        <v>11</v>
      </c>
      <c r="Y30" s="56">
        <v>12</v>
      </c>
      <c r="Z30" s="56">
        <v>1</v>
      </c>
      <c r="AA30" s="56">
        <v>4</v>
      </c>
      <c r="AB30" s="56"/>
      <c r="AC30" s="56"/>
      <c r="AD30" s="51" t="s">
        <v>120</v>
      </c>
      <c r="AE30" s="56">
        <v>5</v>
      </c>
      <c r="AF30" s="56">
        <v>10</v>
      </c>
      <c r="AG30" s="56"/>
      <c r="AH30" s="56"/>
      <c r="AI30" s="56"/>
      <c r="AJ30" s="56"/>
      <c r="AK30" s="56" t="b">
        <f t="shared" si="0"/>
        <v>1</v>
      </c>
      <c r="AL30" s="56" t="b">
        <f t="shared" si="1"/>
        <v>1</v>
      </c>
      <c r="AM30" s="56" t="b">
        <f t="shared" si="2"/>
        <v>0</v>
      </c>
    </row>
    <row r="31" spans="1:39" x14ac:dyDescent="0.35">
      <c r="A31" s="84"/>
      <c r="B31" s="50">
        <v>27</v>
      </c>
      <c r="C31" s="51" t="s">
        <v>330</v>
      </c>
      <c r="D31" s="54">
        <v>1000</v>
      </c>
      <c r="E31" s="52">
        <v>0</v>
      </c>
      <c r="F31" s="52">
        <v>0.999305555555556</v>
      </c>
      <c r="G31" s="52"/>
      <c r="H31" s="52"/>
      <c r="I31" s="52"/>
      <c r="J31" s="52"/>
      <c r="K31" s="50" t="s">
        <v>41</v>
      </c>
      <c r="L31" s="53" t="s">
        <v>143</v>
      </c>
      <c r="M31" s="53" t="s">
        <v>143</v>
      </c>
      <c r="N31" s="53" t="s">
        <v>143</v>
      </c>
      <c r="O31" s="53"/>
      <c r="P31" s="53" t="s">
        <v>141</v>
      </c>
      <c r="Q31" s="53" t="s">
        <v>141</v>
      </c>
      <c r="R31" s="53" t="s">
        <v>141</v>
      </c>
      <c r="S31" s="53" t="s">
        <v>141</v>
      </c>
      <c r="T31" s="53" t="s">
        <v>141</v>
      </c>
      <c r="U31" s="53"/>
      <c r="V31" s="53" t="s">
        <v>143</v>
      </c>
      <c r="W31" s="53" t="s">
        <v>143</v>
      </c>
      <c r="X31" s="56">
        <v>11</v>
      </c>
      <c r="Y31" s="56">
        <v>12</v>
      </c>
      <c r="Z31" s="56">
        <v>1</v>
      </c>
      <c r="AA31" s="56">
        <v>3</v>
      </c>
      <c r="AB31" s="56"/>
      <c r="AC31" s="56"/>
      <c r="AD31" s="51" t="s">
        <v>42</v>
      </c>
      <c r="AE31" s="56">
        <v>5</v>
      </c>
      <c r="AF31" s="56">
        <v>9</v>
      </c>
      <c r="AG31" s="56"/>
      <c r="AH31" s="56"/>
      <c r="AI31" s="56"/>
      <c r="AJ31" s="56"/>
      <c r="AK31" s="56" t="b">
        <f t="shared" si="0"/>
        <v>1</v>
      </c>
      <c r="AL31" s="56" t="b">
        <f t="shared" si="1"/>
        <v>1</v>
      </c>
      <c r="AM31" s="56" t="b">
        <f t="shared" si="2"/>
        <v>0</v>
      </c>
    </row>
    <row r="32" spans="1:39" x14ac:dyDescent="0.35">
      <c r="A32" s="84"/>
      <c r="B32" s="50">
        <v>28</v>
      </c>
      <c r="C32" s="51" t="s">
        <v>331</v>
      </c>
      <c r="D32" s="54">
        <v>3800</v>
      </c>
      <c r="E32" s="52">
        <v>0</v>
      </c>
      <c r="F32" s="52">
        <v>0.999305555555556</v>
      </c>
      <c r="G32" s="52"/>
      <c r="H32" s="52"/>
      <c r="I32" s="52"/>
      <c r="J32" s="52"/>
      <c r="K32" s="50" t="s">
        <v>41</v>
      </c>
      <c r="L32" s="53" t="s">
        <v>152</v>
      </c>
      <c r="M32" s="53" t="s">
        <v>152</v>
      </c>
      <c r="N32" s="53" t="s">
        <v>152</v>
      </c>
      <c r="O32" s="53" t="s">
        <v>152</v>
      </c>
      <c r="P32" s="53" t="s">
        <v>152</v>
      </c>
      <c r="Q32" s="53" t="s">
        <v>152</v>
      </c>
      <c r="R32" s="53" t="s">
        <v>152</v>
      </c>
      <c r="S32" s="53" t="s">
        <v>152</v>
      </c>
      <c r="T32" s="53" t="s">
        <v>152</v>
      </c>
      <c r="U32" s="53" t="s">
        <v>152</v>
      </c>
      <c r="V32" s="53" t="s">
        <v>152</v>
      </c>
      <c r="W32" s="53" t="s">
        <v>152</v>
      </c>
      <c r="X32" s="56">
        <v>1</v>
      </c>
      <c r="Y32" s="56">
        <v>12</v>
      </c>
      <c r="Z32" s="56"/>
      <c r="AA32" s="56"/>
      <c r="AB32" s="56"/>
      <c r="AC32" s="56"/>
      <c r="AD32" s="51" t="s">
        <v>44</v>
      </c>
      <c r="AE32" s="56">
        <v>1</v>
      </c>
      <c r="AF32" s="56">
        <v>12</v>
      </c>
      <c r="AG32" s="56"/>
      <c r="AH32" s="56"/>
      <c r="AI32" s="56"/>
      <c r="AJ32" s="56"/>
      <c r="AK32" s="56" t="b">
        <f t="shared" si="0"/>
        <v>1</v>
      </c>
      <c r="AL32" s="56" t="b">
        <f t="shared" si="1"/>
        <v>1</v>
      </c>
      <c r="AM32" s="56" t="b">
        <f t="shared" si="2"/>
        <v>1</v>
      </c>
    </row>
    <row r="33" spans="1:39" x14ac:dyDescent="0.35">
      <c r="A33" s="84"/>
      <c r="B33" s="50">
        <v>29</v>
      </c>
      <c r="C33" s="51" t="s">
        <v>332</v>
      </c>
      <c r="D33" s="54">
        <v>15000</v>
      </c>
      <c r="E33" s="52">
        <v>0</v>
      </c>
      <c r="F33" s="52">
        <v>0.999305555555556</v>
      </c>
      <c r="G33" s="52"/>
      <c r="H33" s="52"/>
      <c r="I33" s="52"/>
      <c r="J33" s="52"/>
      <c r="K33" s="50" t="s">
        <v>41</v>
      </c>
      <c r="L33" s="53"/>
      <c r="M33" s="53"/>
      <c r="N33" s="53" t="s">
        <v>143</v>
      </c>
      <c r="O33" s="53" t="s">
        <v>143</v>
      </c>
      <c r="P33" s="53"/>
      <c r="Q33" s="53"/>
      <c r="R33" s="53"/>
      <c r="S33" s="53"/>
      <c r="T33" s="53" t="s">
        <v>141</v>
      </c>
      <c r="U33" s="53" t="s">
        <v>141</v>
      </c>
      <c r="V33" s="53"/>
      <c r="W33" s="53"/>
      <c r="X33" s="56">
        <v>3</v>
      </c>
      <c r="Y33" s="56">
        <v>4</v>
      </c>
      <c r="Z33" s="56"/>
      <c r="AA33" s="56"/>
      <c r="AB33" s="56"/>
      <c r="AC33" s="56"/>
      <c r="AD33" s="51" t="s">
        <v>333</v>
      </c>
      <c r="AE33" s="56">
        <v>9</v>
      </c>
      <c r="AF33" s="56">
        <v>10</v>
      </c>
      <c r="AG33" s="56"/>
      <c r="AH33" s="56"/>
      <c r="AI33" s="56"/>
      <c r="AJ33" s="56"/>
      <c r="AK33" s="56" t="b">
        <f t="shared" si="0"/>
        <v>0</v>
      </c>
      <c r="AL33" s="56" t="b">
        <f t="shared" si="1"/>
        <v>0</v>
      </c>
      <c r="AM33" s="56" t="b">
        <f t="shared" si="2"/>
        <v>0</v>
      </c>
    </row>
    <row r="34" spans="1:39" x14ac:dyDescent="0.35">
      <c r="A34" s="84"/>
      <c r="B34" s="50">
        <v>30</v>
      </c>
      <c r="C34" s="51" t="s">
        <v>334</v>
      </c>
      <c r="D34" s="54">
        <v>15000</v>
      </c>
      <c r="E34" s="52">
        <v>0.66666666666666696</v>
      </c>
      <c r="F34" s="52">
        <v>0.999305555555556</v>
      </c>
      <c r="G34" s="52">
        <v>0</v>
      </c>
      <c r="H34" s="52">
        <v>0.375</v>
      </c>
      <c r="I34" s="52"/>
      <c r="J34" s="52"/>
      <c r="K34" s="50" t="s">
        <v>47</v>
      </c>
      <c r="L34" s="53" t="s">
        <v>141</v>
      </c>
      <c r="M34" s="53" t="s">
        <v>141</v>
      </c>
      <c r="N34" s="53" t="s">
        <v>141</v>
      </c>
      <c r="O34" s="53"/>
      <c r="P34" s="53"/>
      <c r="Q34" s="53" t="s">
        <v>143</v>
      </c>
      <c r="R34" s="53" t="s">
        <v>143</v>
      </c>
      <c r="S34" s="53" t="s">
        <v>143</v>
      </c>
      <c r="T34" s="53" t="s">
        <v>143</v>
      </c>
      <c r="U34" s="53"/>
      <c r="V34" s="53"/>
      <c r="W34" s="53" t="s">
        <v>141</v>
      </c>
      <c r="X34" s="56">
        <v>6</v>
      </c>
      <c r="Y34" s="56">
        <v>9</v>
      </c>
      <c r="Z34" s="56"/>
      <c r="AA34" s="56"/>
      <c r="AB34" s="56"/>
      <c r="AC34" s="56"/>
      <c r="AD34" s="51" t="s">
        <v>95</v>
      </c>
      <c r="AE34" s="56">
        <v>12</v>
      </c>
      <c r="AF34" s="56">
        <v>12</v>
      </c>
      <c r="AG34" s="56">
        <v>1</v>
      </c>
      <c r="AH34" s="56">
        <v>3</v>
      </c>
      <c r="AI34" s="56"/>
      <c r="AJ34" s="56"/>
      <c r="AK34" s="56" t="b">
        <f t="shared" si="0"/>
        <v>0</v>
      </c>
      <c r="AL34" s="56" t="b">
        <f t="shared" si="1"/>
        <v>0</v>
      </c>
      <c r="AM34" s="56" t="b">
        <f t="shared" si="2"/>
        <v>0</v>
      </c>
    </row>
    <row r="35" spans="1:39" x14ac:dyDescent="0.35">
      <c r="A35" s="84"/>
      <c r="B35" s="50">
        <v>31</v>
      </c>
      <c r="C35" s="51" t="s">
        <v>335</v>
      </c>
      <c r="D35" s="50">
        <v>700</v>
      </c>
      <c r="E35" s="52">
        <v>0.66666666666666696</v>
      </c>
      <c r="F35" s="52">
        <v>0.999305555555556</v>
      </c>
      <c r="G35" s="52">
        <v>0</v>
      </c>
      <c r="H35" s="52">
        <v>0.375</v>
      </c>
      <c r="I35" s="52"/>
      <c r="J35" s="52"/>
      <c r="K35" s="50" t="s">
        <v>47</v>
      </c>
      <c r="L35" s="53" t="s">
        <v>143</v>
      </c>
      <c r="M35" s="53" t="s">
        <v>143</v>
      </c>
      <c r="N35" s="53" t="s">
        <v>141</v>
      </c>
      <c r="O35" s="53" t="s">
        <v>141</v>
      </c>
      <c r="P35" s="53" t="s">
        <v>141</v>
      </c>
      <c r="Q35" s="53" t="s">
        <v>141</v>
      </c>
      <c r="R35" s="53" t="s">
        <v>141</v>
      </c>
      <c r="S35" s="53" t="s">
        <v>141</v>
      </c>
      <c r="T35" s="53" t="s">
        <v>143</v>
      </c>
      <c r="U35" s="53" t="s">
        <v>143</v>
      </c>
      <c r="V35" s="53" t="s">
        <v>143</v>
      </c>
      <c r="W35" s="53" t="s">
        <v>143</v>
      </c>
      <c r="X35" s="56">
        <v>9</v>
      </c>
      <c r="Y35" s="56">
        <v>12</v>
      </c>
      <c r="Z35" s="56">
        <v>1</v>
      </c>
      <c r="AA35" s="56">
        <v>2</v>
      </c>
      <c r="AB35" s="56"/>
      <c r="AC35" s="56"/>
      <c r="AD35" s="51" t="s">
        <v>311</v>
      </c>
      <c r="AE35" s="56">
        <v>3</v>
      </c>
      <c r="AF35" s="56">
        <v>8</v>
      </c>
      <c r="AG35" s="56"/>
      <c r="AH35" s="56"/>
      <c r="AI35" s="56"/>
      <c r="AJ35" s="56"/>
      <c r="AK35" s="56" t="b">
        <f t="shared" si="0"/>
        <v>0</v>
      </c>
      <c r="AL35" s="56" t="b">
        <f t="shared" si="1"/>
        <v>0</v>
      </c>
      <c r="AM35" s="56" t="b">
        <f t="shared" si="2"/>
        <v>0</v>
      </c>
    </row>
    <row r="36" spans="1:39" x14ac:dyDescent="0.35">
      <c r="A36" s="84"/>
      <c r="B36" s="50">
        <v>32</v>
      </c>
      <c r="C36" s="51" t="s">
        <v>336</v>
      </c>
      <c r="D36" s="54">
        <v>1800</v>
      </c>
      <c r="E36" s="52">
        <v>0.66666666666666696</v>
      </c>
      <c r="F36" s="52">
        <v>0.999305555555556</v>
      </c>
      <c r="G36" s="52">
        <v>0</v>
      </c>
      <c r="H36" s="52">
        <v>0.375</v>
      </c>
      <c r="I36" s="52"/>
      <c r="J36" s="52"/>
      <c r="K36" s="50" t="s">
        <v>47</v>
      </c>
      <c r="L36" s="53" t="s">
        <v>152</v>
      </c>
      <c r="M36" s="53" t="s">
        <v>152</v>
      </c>
      <c r="N36" s="53" t="s">
        <v>152</v>
      </c>
      <c r="O36" s="53" t="s">
        <v>152</v>
      </c>
      <c r="P36" s="53" t="s">
        <v>152</v>
      </c>
      <c r="Q36" s="53" t="s">
        <v>152</v>
      </c>
      <c r="R36" s="53" t="s">
        <v>152</v>
      </c>
      <c r="S36" s="53" t="s">
        <v>152</v>
      </c>
      <c r="T36" s="53" t="s">
        <v>152</v>
      </c>
      <c r="U36" s="53" t="s">
        <v>152</v>
      </c>
      <c r="V36" s="53" t="s">
        <v>152</v>
      </c>
      <c r="W36" s="53" t="s">
        <v>152</v>
      </c>
      <c r="X36" s="56">
        <v>1</v>
      </c>
      <c r="Y36" s="56">
        <v>12</v>
      </c>
      <c r="Z36" s="56"/>
      <c r="AA36" s="56"/>
      <c r="AB36" s="56"/>
      <c r="AC36" s="56"/>
      <c r="AD36" s="51" t="s">
        <v>44</v>
      </c>
      <c r="AE36" s="56">
        <v>1</v>
      </c>
      <c r="AF36" s="56">
        <v>12</v>
      </c>
      <c r="AG36" s="56"/>
      <c r="AH36" s="56"/>
      <c r="AI36" s="56"/>
      <c r="AJ36" s="56"/>
      <c r="AK36" s="56" t="b">
        <f t="shared" si="0"/>
        <v>0</v>
      </c>
      <c r="AL36" s="56" t="b">
        <f t="shared" si="1"/>
        <v>0</v>
      </c>
      <c r="AM36" s="56" t="b">
        <f t="shared" si="2"/>
        <v>0</v>
      </c>
    </row>
    <row r="37" spans="1:39" x14ac:dyDescent="0.35">
      <c r="A37" s="84"/>
      <c r="B37" s="50">
        <v>33</v>
      </c>
      <c r="C37" s="51" t="s">
        <v>337</v>
      </c>
      <c r="D37" s="54">
        <v>2000</v>
      </c>
      <c r="E37" s="52">
        <v>0.875</v>
      </c>
      <c r="F37" s="52">
        <v>0.99930555555555556</v>
      </c>
      <c r="G37" s="52">
        <v>0</v>
      </c>
      <c r="H37" s="52">
        <v>0.16666666666666666</v>
      </c>
      <c r="I37" s="52"/>
      <c r="J37" s="52"/>
      <c r="K37" s="50" t="s">
        <v>59</v>
      </c>
      <c r="L37" s="53"/>
      <c r="M37" s="53"/>
      <c r="N37" s="53"/>
      <c r="O37" s="53" t="s">
        <v>141</v>
      </c>
      <c r="P37" s="53" t="s">
        <v>141</v>
      </c>
      <c r="Q37" s="53" t="s">
        <v>141</v>
      </c>
      <c r="R37" s="53"/>
      <c r="S37" s="53"/>
      <c r="T37" s="53"/>
      <c r="U37" s="53" t="s">
        <v>143</v>
      </c>
      <c r="V37" s="53" t="s">
        <v>143</v>
      </c>
      <c r="W37" s="53" t="s">
        <v>143</v>
      </c>
      <c r="X37" s="56">
        <v>10</v>
      </c>
      <c r="Y37" s="56">
        <v>12</v>
      </c>
      <c r="Z37" s="56"/>
      <c r="AA37" s="56"/>
      <c r="AB37" s="56"/>
      <c r="AC37" s="56"/>
      <c r="AD37" s="51" t="s">
        <v>338</v>
      </c>
      <c r="AE37" s="56">
        <v>4</v>
      </c>
      <c r="AF37" s="56">
        <v>6</v>
      </c>
      <c r="AG37" s="56"/>
      <c r="AH37" s="56"/>
      <c r="AI37" s="56"/>
      <c r="AJ37" s="56"/>
      <c r="AK37" s="56" t="b">
        <f t="shared" si="0"/>
        <v>0</v>
      </c>
      <c r="AL37" s="56" t="b">
        <f t="shared" si="1"/>
        <v>0</v>
      </c>
      <c r="AM37" s="56" t="b">
        <f t="shared" si="2"/>
        <v>0</v>
      </c>
    </row>
    <row r="38" spans="1:39" x14ac:dyDescent="0.35">
      <c r="A38" s="84"/>
      <c r="B38" s="50">
        <v>34</v>
      </c>
      <c r="C38" s="51" t="s">
        <v>339</v>
      </c>
      <c r="D38" s="54">
        <v>1300</v>
      </c>
      <c r="E38" s="52">
        <v>0</v>
      </c>
      <c r="F38" s="52">
        <v>0.999305555555556</v>
      </c>
      <c r="G38" s="52"/>
      <c r="H38" s="52"/>
      <c r="I38" s="52"/>
      <c r="J38" s="52"/>
      <c r="K38" s="50" t="s">
        <v>41</v>
      </c>
      <c r="L38" s="53" t="s">
        <v>143</v>
      </c>
      <c r="M38" s="53"/>
      <c r="N38" s="53"/>
      <c r="O38" s="53" t="s">
        <v>143</v>
      </c>
      <c r="P38" s="53" t="s">
        <v>143</v>
      </c>
      <c r="Q38" s="53" t="s">
        <v>152</v>
      </c>
      <c r="R38" s="53" t="s">
        <v>141</v>
      </c>
      <c r="S38" s="53"/>
      <c r="T38" s="53"/>
      <c r="U38" s="53" t="s">
        <v>141</v>
      </c>
      <c r="V38" s="53" t="s">
        <v>141</v>
      </c>
      <c r="W38" s="53" t="s">
        <v>152</v>
      </c>
      <c r="X38" s="56">
        <v>4</v>
      </c>
      <c r="Y38" s="56">
        <v>6</v>
      </c>
      <c r="Z38" s="56">
        <v>12</v>
      </c>
      <c r="AA38" s="56">
        <v>12</v>
      </c>
      <c r="AB38" s="56">
        <v>1</v>
      </c>
      <c r="AC38" s="56">
        <v>1</v>
      </c>
      <c r="AD38" s="51" t="s">
        <v>340</v>
      </c>
      <c r="AE38" s="56">
        <v>10</v>
      </c>
      <c r="AF38" s="56">
        <v>12</v>
      </c>
      <c r="AG38" s="56">
        <v>6</v>
      </c>
      <c r="AH38" s="56">
        <v>7</v>
      </c>
      <c r="AI38" s="56"/>
      <c r="AJ38" s="56"/>
      <c r="AK38" s="56" t="b">
        <f t="shared" si="0"/>
        <v>0</v>
      </c>
      <c r="AL38" s="56" t="b">
        <f t="shared" si="1"/>
        <v>0</v>
      </c>
      <c r="AM38" s="56" t="b">
        <f t="shared" si="2"/>
        <v>1</v>
      </c>
    </row>
    <row r="39" spans="1:39" x14ac:dyDescent="0.35">
      <c r="A39" s="84"/>
      <c r="B39" s="50">
        <v>35</v>
      </c>
      <c r="C39" s="51" t="s">
        <v>341</v>
      </c>
      <c r="D39" s="54">
        <v>1500</v>
      </c>
      <c r="E39" s="52">
        <v>0.375</v>
      </c>
      <c r="F39" s="52">
        <v>0.66666666666666663</v>
      </c>
      <c r="G39" s="52">
        <v>0.875</v>
      </c>
      <c r="H39" s="52">
        <v>0.99930555555555556</v>
      </c>
      <c r="I39" s="52">
        <v>0</v>
      </c>
      <c r="J39" s="52">
        <v>0.16666666666666666</v>
      </c>
      <c r="K39" s="50" t="s">
        <v>94</v>
      </c>
      <c r="L39" s="53" t="s">
        <v>141</v>
      </c>
      <c r="M39" s="53" t="s">
        <v>141</v>
      </c>
      <c r="N39" s="53" t="s">
        <v>141</v>
      </c>
      <c r="O39" s="53" t="s">
        <v>141</v>
      </c>
      <c r="P39" s="53"/>
      <c r="Q39" s="53"/>
      <c r="R39" s="53" t="s">
        <v>143</v>
      </c>
      <c r="S39" s="53" t="s">
        <v>143</v>
      </c>
      <c r="T39" s="53" t="s">
        <v>143</v>
      </c>
      <c r="U39" s="53" t="s">
        <v>143</v>
      </c>
      <c r="V39" s="53"/>
      <c r="W39" s="53"/>
      <c r="X39" s="56">
        <v>7</v>
      </c>
      <c r="Y39" s="56">
        <v>10</v>
      </c>
      <c r="Z39" s="56"/>
      <c r="AA39" s="56"/>
      <c r="AB39" s="56"/>
      <c r="AC39" s="56"/>
      <c r="AD39" s="51" t="s">
        <v>342</v>
      </c>
      <c r="AE39" s="56">
        <v>1</v>
      </c>
      <c r="AF39" s="56">
        <v>4</v>
      </c>
      <c r="AG39" s="56"/>
      <c r="AH39" s="56"/>
      <c r="AI39" s="56"/>
      <c r="AJ39" s="56"/>
      <c r="AK39" s="56" t="b">
        <f t="shared" si="0"/>
        <v>0</v>
      </c>
      <c r="AL39" s="56" t="b">
        <f t="shared" si="1"/>
        <v>0</v>
      </c>
      <c r="AM39" s="56" t="b">
        <f t="shared" si="2"/>
        <v>0</v>
      </c>
    </row>
    <row r="40" spans="1:39" x14ac:dyDescent="0.35">
      <c r="A40" s="84"/>
      <c r="B40" s="50">
        <v>36</v>
      </c>
      <c r="C40" s="51" t="s">
        <v>343</v>
      </c>
      <c r="D40" s="54">
        <v>3000</v>
      </c>
      <c r="E40" s="52">
        <v>0.875</v>
      </c>
      <c r="F40" s="52">
        <v>0.99930555555555556</v>
      </c>
      <c r="G40" s="52">
        <v>0</v>
      </c>
      <c r="H40" s="52">
        <v>0.16666666666666666</v>
      </c>
      <c r="I40" s="52"/>
      <c r="J40" s="52"/>
      <c r="K40" s="50" t="s">
        <v>59</v>
      </c>
      <c r="L40" s="53" t="s">
        <v>141</v>
      </c>
      <c r="M40" s="53" t="s">
        <v>141</v>
      </c>
      <c r="N40" s="53" t="s">
        <v>141</v>
      </c>
      <c r="O40" s="53"/>
      <c r="P40" s="53"/>
      <c r="Q40" s="53"/>
      <c r="R40" s="53" t="s">
        <v>143</v>
      </c>
      <c r="S40" s="53" t="s">
        <v>143</v>
      </c>
      <c r="T40" s="53" t="s">
        <v>143</v>
      </c>
      <c r="U40" s="53"/>
      <c r="V40" s="53"/>
      <c r="W40" s="53"/>
      <c r="X40" s="56">
        <v>7</v>
      </c>
      <c r="Y40" s="56">
        <v>9</v>
      </c>
      <c r="Z40" s="56"/>
      <c r="AA40" s="56"/>
      <c r="AB40" s="56"/>
      <c r="AC40" s="56"/>
      <c r="AD40" s="51" t="s">
        <v>75</v>
      </c>
      <c r="AE40" s="56">
        <v>1</v>
      </c>
      <c r="AF40" s="56">
        <v>3</v>
      </c>
      <c r="AG40" s="56"/>
      <c r="AH40" s="56"/>
      <c r="AI40" s="56"/>
      <c r="AJ40" s="56"/>
      <c r="AK40" s="56" t="b">
        <f t="shared" si="0"/>
        <v>0</v>
      </c>
      <c r="AL40" s="56" t="b">
        <f t="shared" si="1"/>
        <v>0</v>
      </c>
      <c r="AM40" s="56" t="b">
        <f t="shared" si="2"/>
        <v>0</v>
      </c>
    </row>
    <row r="41" spans="1:39" x14ac:dyDescent="0.35">
      <c r="A41" s="84"/>
      <c r="B41" s="50">
        <v>37</v>
      </c>
      <c r="C41" s="51" t="s">
        <v>344</v>
      </c>
      <c r="D41" s="55">
        <v>2500</v>
      </c>
      <c r="E41" s="52">
        <v>0</v>
      </c>
      <c r="F41" s="52">
        <v>0.999305555555556</v>
      </c>
      <c r="G41" s="52"/>
      <c r="H41" s="52"/>
      <c r="I41" s="52"/>
      <c r="J41" s="52"/>
      <c r="K41" s="50" t="s">
        <v>41</v>
      </c>
      <c r="L41" s="53" t="s">
        <v>152</v>
      </c>
      <c r="M41" s="53" t="s">
        <v>152</v>
      </c>
      <c r="N41" s="53" t="s">
        <v>152</v>
      </c>
      <c r="O41" s="53" t="s">
        <v>152</v>
      </c>
      <c r="P41" s="53" t="s">
        <v>152</v>
      </c>
      <c r="Q41" s="53" t="s">
        <v>152</v>
      </c>
      <c r="R41" s="53" t="s">
        <v>152</v>
      </c>
      <c r="S41" s="53" t="s">
        <v>152</v>
      </c>
      <c r="T41" s="53" t="s">
        <v>152</v>
      </c>
      <c r="U41" s="53" t="s">
        <v>152</v>
      </c>
      <c r="V41" s="53" t="s">
        <v>152</v>
      </c>
      <c r="W41" s="53" t="s">
        <v>152</v>
      </c>
      <c r="X41" s="56">
        <v>1</v>
      </c>
      <c r="Y41" s="56">
        <v>12</v>
      </c>
      <c r="Z41" s="56"/>
      <c r="AA41" s="56"/>
      <c r="AB41" s="56"/>
      <c r="AC41" s="56"/>
      <c r="AD41" s="51" t="s">
        <v>44</v>
      </c>
      <c r="AE41" s="56">
        <v>1</v>
      </c>
      <c r="AF41" s="56">
        <v>12</v>
      </c>
      <c r="AG41" s="56"/>
      <c r="AH41" s="56"/>
      <c r="AI41" s="56"/>
      <c r="AJ41" s="56"/>
      <c r="AK41" s="56" t="b">
        <f t="shared" si="0"/>
        <v>1</v>
      </c>
      <c r="AL41" s="56" t="b">
        <f t="shared" si="1"/>
        <v>1</v>
      </c>
      <c r="AM41" s="56" t="b">
        <f t="shared" si="2"/>
        <v>1</v>
      </c>
    </row>
    <row r="42" spans="1:39" x14ac:dyDescent="0.35">
      <c r="A42" s="84"/>
      <c r="B42" s="50">
        <v>38</v>
      </c>
      <c r="C42" s="51" t="s">
        <v>345</v>
      </c>
      <c r="D42" s="55">
        <v>500</v>
      </c>
      <c r="E42" s="52">
        <v>0.16666666666666666</v>
      </c>
      <c r="F42" s="52">
        <v>0.875</v>
      </c>
      <c r="G42" s="52"/>
      <c r="H42" s="52"/>
      <c r="I42" s="52"/>
      <c r="J42" s="52"/>
      <c r="K42" s="50" t="s">
        <v>98</v>
      </c>
      <c r="L42" s="53" t="s">
        <v>141</v>
      </c>
      <c r="M42" s="53" t="s">
        <v>141</v>
      </c>
      <c r="N42" s="53" t="s">
        <v>141</v>
      </c>
      <c r="O42" s="53" t="s">
        <v>141</v>
      </c>
      <c r="P42" s="53" t="s">
        <v>143</v>
      </c>
      <c r="Q42" s="53" t="s">
        <v>143</v>
      </c>
      <c r="R42" s="53" t="s">
        <v>143</v>
      </c>
      <c r="S42" s="53" t="s">
        <v>143</v>
      </c>
      <c r="T42" s="53" t="s">
        <v>143</v>
      </c>
      <c r="U42" s="53" t="s">
        <v>143</v>
      </c>
      <c r="V42" s="53" t="s">
        <v>141</v>
      </c>
      <c r="W42" s="53" t="s">
        <v>141</v>
      </c>
      <c r="X42" s="56">
        <v>5</v>
      </c>
      <c r="Y42" s="56">
        <v>10</v>
      </c>
      <c r="Z42" s="56"/>
      <c r="AA42" s="56"/>
      <c r="AB42" s="56"/>
      <c r="AC42" s="56"/>
      <c r="AD42" s="51" t="s">
        <v>66</v>
      </c>
      <c r="AE42" s="56">
        <v>11</v>
      </c>
      <c r="AF42" s="56">
        <v>12</v>
      </c>
      <c r="AG42" s="56">
        <v>1</v>
      </c>
      <c r="AH42" s="56">
        <v>4</v>
      </c>
      <c r="AI42" s="56"/>
      <c r="AJ42" s="56"/>
      <c r="AK42" s="56" t="b">
        <f t="shared" si="0"/>
        <v>0</v>
      </c>
      <c r="AL42" s="56" t="b">
        <f t="shared" si="1"/>
        <v>0</v>
      </c>
      <c r="AM42" s="56" t="b">
        <f t="shared" si="2"/>
        <v>1</v>
      </c>
    </row>
    <row r="43" spans="1:39" x14ac:dyDescent="0.35">
      <c r="A43" s="84"/>
      <c r="B43" s="50">
        <v>39</v>
      </c>
      <c r="C43" s="51" t="s">
        <v>346</v>
      </c>
      <c r="D43" s="55">
        <v>800</v>
      </c>
      <c r="E43" s="52">
        <v>0.66666666666666696</v>
      </c>
      <c r="F43" s="52">
        <v>0.999305555555556</v>
      </c>
      <c r="G43" s="52">
        <v>0</v>
      </c>
      <c r="H43" s="52">
        <v>0.375</v>
      </c>
      <c r="I43" s="52"/>
      <c r="J43" s="52"/>
      <c r="K43" s="50" t="s">
        <v>47</v>
      </c>
      <c r="L43" s="53"/>
      <c r="M43" s="53" t="s">
        <v>141</v>
      </c>
      <c r="N43" s="53" t="s">
        <v>141</v>
      </c>
      <c r="O43" s="53"/>
      <c r="P43" s="53"/>
      <c r="Q43" s="53"/>
      <c r="R43" s="53"/>
      <c r="S43" s="53" t="s">
        <v>143</v>
      </c>
      <c r="T43" s="53" t="s">
        <v>143</v>
      </c>
      <c r="U43" s="53"/>
      <c r="V43" s="53"/>
      <c r="W43" s="53"/>
      <c r="X43" s="56">
        <v>8</v>
      </c>
      <c r="Y43" s="56">
        <v>9</v>
      </c>
      <c r="Z43" s="56"/>
      <c r="AA43" s="56"/>
      <c r="AB43" s="56"/>
      <c r="AC43" s="56"/>
      <c r="AD43" s="51" t="s">
        <v>56</v>
      </c>
      <c r="AE43" s="56">
        <v>2</v>
      </c>
      <c r="AF43" s="56">
        <v>3</v>
      </c>
      <c r="AG43" s="56"/>
      <c r="AH43" s="56"/>
      <c r="AI43" s="56"/>
      <c r="AJ43" s="56"/>
      <c r="AK43" s="56" t="b">
        <f t="shared" si="0"/>
        <v>0</v>
      </c>
      <c r="AL43" s="56" t="b">
        <f t="shared" si="1"/>
        <v>0</v>
      </c>
      <c r="AM43" s="56" t="b">
        <f t="shared" si="2"/>
        <v>0</v>
      </c>
    </row>
    <row r="44" spans="1:39" x14ac:dyDescent="0.35">
      <c r="A44" s="84"/>
      <c r="B44" s="50">
        <v>40</v>
      </c>
      <c r="C44" s="51" t="s">
        <v>347</v>
      </c>
      <c r="D44" s="55">
        <v>2500</v>
      </c>
      <c r="E44" s="52">
        <v>0</v>
      </c>
      <c r="F44" s="52">
        <v>0.999305555555556</v>
      </c>
      <c r="G44" s="52"/>
      <c r="H44" s="52"/>
      <c r="I44" s="52"/>
      <c r="J44" s="52"/>
      <c r="K44" s="50" t="s">
        <v>41</v>
      </c>
      <c r="L44" s="53" t="s">
        <v>143</v>
      </c>
      <c r="M44" s="53" t="s">
        <v>143</v>
      </c>
      <c r="N44" s="53"/>
      <c r="O44" s="53" t="s">
        <v>141</v>
      </c>
      <c r="P44" s="53" t="s">
        <v>141</v>
      </c>
      <c r="Q44" s="53" t="s">
        <v>141</v>
      </c>
      <c r="R44" s="53" t="s">
        <v>141</v>
      </c>
      <c r="S44" s="53" t="s">
        <v>141</v>
      </c>
      <c r="T44" s="53"/>
      <c r="U44" s="53" t="s">
        <v>143</v>
      </c>
      <c r="V44" s="53" t="s">
        <v>143</v>
      </c>
      <c r="W44" s="53" t="s">
        <v>143</v>
      </c>
      <c r="X44" s="56">
        <v>10</v>
      </c>
      <c r="Y44" s="56">
        <v>12</v>
      </c>
      <c r="Z44" s="56">
        <v>1</v>
      </c>
      <c r="AA44" s="56">
        <v>2</v>
      </c>
      <c r="AB44" s="56"/>
      <c r="AC44" s="56"/>
      <c r="AD44" s="51" t="s">
        <v>348</v>
      </c>
      <c r="AE44" s="56">
        <v>4</v>
      </c>
      <c r="AF44" s="56">
        <v>8</v>
      </c>
      <c r="AG44" s="56"/>
      <c r="AH44" s="56"/>
      <c r="AI44" s="56"/>
      <c r="AJ44" s="56"/>
      <c r="AK44" s="56" t="b">
        <f t="shared" si="0"/>
        <v>1</v>
      </c>
      <c r="AL44" s="56" t="b">
        <f t="shared" si="1"/>
        <v>1</v>
      </c>
      <c r="AM44" s="56" t="b">
        <f t="shared" si="2"/>
        <v>0</v>
      </c>
    </row>
    <row r="45" spans="1:39" s="14" customFormat="1" x14ac:dyDescent="0.35">
      <c r="A45" s="85"/>
      <c r="B45" s="15"/>
      <c r="D45" s="57"/>
      <c r="E45" s="16"/>
      <c r="F45" s="16"/>
      <c r="G45" s="16"/>
      <c r="H45" s="16"/>
      <c r="I45" s="16"/>
      <c r="J45" s="16"/>
      <c r="K45" s="15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58"/>
      <c r="Y45" s="58"/>
      <c r="Z45" s="58"/>
      <c r="AA45" s="58"/>
      <c r="AB45" s="58"/>
      <c r="AC45" s="58"/>
      <c r="AE45" s="58"/>
      <c r="AF45" s="58"/>
      <c r="AG45" s="58"/>
      <c r="AH45" s="58"/>
      <c r="AI45" s="58"/>
      <c r="AJ45" s="58"/>
      <c r="AK45" s="58"/>
      <c r="AL45" s="58"/>
      <c r="AM45" s="58"/>
    </row>
    <row r="46" spans="1:39" s="14" customFormat="1" x14ac:dyDescent="0.35">
      <c r="A46" s="85"/>
      <c r="B46" s="15"/>
      <c r="D46" s="57"/>
      <c r="E46" s="16"/>
      <c r="F46" s="16"/>
      <c r="G46" s="16"/>
      <c r="H46" s="16"/>
      <c r="I46" s="16"/>
      <c r="J46" s="16"/>
      <c r="K46" s="15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58"/>
      <c r="Y46" s="58"/>
      <c r="Z46" s="58"/>
      <c r="AA46" s="58"/>
      <c r="AB46" s="58"/>
      <c r="AC46" s="58"/>
      <c r="AE46" s="58"/>
      <c r="AF46" s="58"/>
      <c r="AG46" s="58"/>
      <c r="AH46" s="58"/>
      <c r="AI46" s="58"/>
      <c r="AJ46" s="58"/>
      <c r="AK46" s="58"/>
      <c r="AL46" s="58"/>
      <c r="AM46" s="58"/>
    </row>
    <row r="47" spans="1:39" s="14" customFormat="1" x14ac:dyDescent="0.35">
      <c r="A47" s="85"/>
      <c r="B47" s="15"/>
      <c r="D47" s="57"/>
      <c r="E47" s="16"/>
      <c r="F47" s="16"/>
      <c r="G47" s="16"/>
      <c r="H47" s="16"/>
      <c r="I47" s="16"/>
      <c r="J47" s="16"/>
      <c r="K47" s="15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58"/>
      <c r="Y47" s="58"/>
      <c r="Z47" s="58"/>
      <c r="AA47" s="58"/>
      <c r="AB47" s="58"/>
      <c r="AC47" s="58"/>
      <c r="AE47" s="58"/>
      <c r="AF47" s="58"/>
      <c r="AG47" s="58"/>
      <c r="AH47" s="58"/>
      <c r="AI47" s="58"/>
      <c r="AJ47" s="58"/>
      <c r="AK47" s="58"/>
      <c r="AL47" s="58"/>
      <c r="AM47" s="58"/>
    </row>
    <row r="48" spans="1:39" s="14" customFormat="1" x14ac:dyDescent="0.35">
      <c r="A48" s="85"/>
      <c r="B48" s="15"/>
      <c r="D48" s="57"/>
      <c r="E48" s="16"/>
      <c r="F48" s="16"/>
      <c r="G48" s="16"/>
      <c r="H48" s="16"/>
      <c r="I48" s="16"/>
      <c r="J48" s="16"/>
      <c r="K48" s="15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58"/>
      <c r="Y48" s="58"/>
      <c r="Z48" s="58"/>
      <c r="AA48" s="58"/>
      <c r="AB48" s="58"/>
      <c r="AC48" s="58"/>
      <c r="AE48" s="58"/>
      <c r="AF48" s="58"/>
      <c r="AG48" s="58"/>
      <c r="AH48" s="58"/>
      <c r="AI48" s="58"/>
      <c r="AJ48" s="58"/>
      <c r="AK48" s="58"/>
      <c r="AL48" s="58"/>
      <c r="AM48" s="58"/>
    </row>
    <row r="49" spans="1:39" s="14" customFormat="1" x14ac:dyDescent="0.35">
      <c r="A49" s="85"/>
      <c r="B49" s="15"/>
      <c r="D49" s="57"/>
      <c r="E49" s="16"/>
      <c r="F49" s="16"/>
      <c r="G49" s="16"/>
      <c r="H49" s="16"/>
      <c r="I49" s="16"/>
      <c r="J49" s="16"/>
      <c r="K49" s="15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58"/>
      <c r="Y49" s="58"/>
      <c r="Z49" s="58"/>
      <c r="AA49" s="58"/>
      <c r="AB49" s="58"/>
      <c r="AC49" s="58"/>
      <c r="AE49" s="58"/>
      <c r="AF49" s="58"/>
      <c r="AG49" s="58"/>
      <c r="AH49" s="58"/>
      <c r="AI49" s="58"/>
      <c r="AJ49" s="58"/>
      <c r="AK49" s="58"/>
      <c r="AL49" s="58"/>
      <c r="AM49" s="58"/>
    </row>
    <row r="50" spans="1:39" s="14" customFormat="1" x14ac:dyDescent="0.35">
      <c r="A50" s="85"/>
      <c r="B50" s="15"/>
      <c r="D50" s="57"/>
      <c r="E50" s="16"/>
      <c r="F50" s="16"/>
      <c r="G50" s="16"/>
      <c r="H50" s="16"/>
      <c r="I50" s="16"/>
      <c r="J50" s="16"/>
      <c r="K50" s="15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58"/>
      <c r="Y50" s="58"/>
      <c r="Z50" s="58"/>
      <c r="AA50" s="58"/>
      <c r="AB50" s="58"/>
      <c r="AC50" s="58"/>
      <c r="AE50" s="58"/>
      <c r="AF50" s="58"/>
      <c r="AG50" s="58"/>
      <c r="AH50" s="58"/>
      <c r="AI50" s="58"/>
      <c r="AJ50" s="58"/>
      <c r="AK50" s="58"/>
      <c r="AL50" s="58"/>
      <c r="AM50" s="58"/>
    </row>
    <row r="51" spans="1:39" s="14" customFormat="1" x14ac:dyDescent="0.35">
      <c r="A51" s="85"/>
      <c r="B51" s="15"/>
      <c r="D51" s="57"/>
      <c r="E51" s="16"/>
      <c r="F51" s="16"/>
      <c r="G51" s="16"/>
      <c r="H51" s="16"/>
      <c r="I51" s="16"/>
      <c r="J51" s="16"/>
      <c r="K51" s="15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58"/>
      <c r="Y51" s="58"/>
      <c r="Z51" s="58"/>
      <c r="AA51" s="58"/>
      <c r="AB51" s="58"/>
      <c r="AC51" s="58"/>
      <c r="AE51" s="58"/>
      <c r="AF51" s="58"/>
      <c r="AG51" s="58"/>
      <c r="AH51" s="58"/>
      <c r="AI51" s="58"/>
      <c r="AJ51" s="58"/>
      <c r="AK51" s="58"/>
      <c r="AL51" s="58"/>
      <c r="AM51" s="58"/>
    </row>
    <row r="52" spans="1:39" s="14" customFormat="1" x14ac:dyDescent="0.35">
      <c r="A52" s="85"/>
      <c r="B52" s="15"/>
      <c r="D52" s="57"/>
      <c r="E52" s="16"/>
      <c r="F52" s="16"/>
      <c r="G52" s="16"/>
      <c r="H52" s="16"/>
      <c r="I52" s="16"/>
      <c r="J52" s="16"/>
      <c r="K52" s="15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58"/>
      <c r="Y52" s="58"/>
      <c r="Z52" s="58"/>
      <c r="AA52" s="58"/>
      <c r="AB52" s="58"/>
      <c r="AC52" s="58"/>
      <c r="AE52" s="58"/>
      <c r="AF52" s="58"/>
      <c r="AG52" s="58"/>
      <c r="AH52" s="58"/>
      <c r="AI52" s="58"/>
      <c r="AJ52" s="58"/>
      <c r="AK52" s="58"/>
      <c r="AL52" s="58"/>
      <c r="AM52" s="58"/>
    </row>
    <row r="53" spans="1:39" s="14" customFormat="1" x14ac:dyDescent="0.35">
      <c r="A53" s="85"/>
      <c r="B53" s="15"/>
      <c r="D53" s="57"/>
      <c r="E53" s="16"/>
      <c r="F53" s="16"/>
      <c r="G53" s="16"/>
      <c r="H53" s="16"/>
      <c r="I53" s="16"/>
      <c r="J53" s="16"/>
      <c r="K53" s="15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58"/>
      <c r="Y53" s="58"/>
      <c r="Z53" s="58"/>
      <c r="AA53" s="58"/>
      <c r="AB53" s="58"/>
      <c r="AC53" s="58"/>
      <c r="AE53" s="58"/>
      <c r="AF53" s="58"/>
      <c r="AG53" s="58"/>
      <c r="AH53" s="58"/>
      <c r="AI53" s="58"/>
      <c r="AJ53" s="58"/>
      <c r="AK53" s="58"/>
      <c r="AL53" s="58"/>
      <c r="AM53" s="58"/>
    </row>
    <row r="54" spans="1:39" s="14" customFormat="1" x14ac:dyDescent="0.35">
      <c r="A54" s="85"/>
      <c r="B54" s="15"/>
      <c r="D54" s="57"/>
      <c r="E54" s="16"/>
      <c r="F54" s="16"/>
      <c r="G54" s="16"/>
      <c r="H54" s="16"/>
      <c r="I54" s="16"/>
      <c r="J54" s="16"/>
      <c r="K54" s="15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58"/>
      <c r="Y54" s="58"/>
      <c r="Z54" s="58"/>
      <c r="AA54" s="58"/>
      <c r="AB54" s="58"/>
      <c r="AC54" s="58"/>
      <c r="AE54" s="58"/>
      <c r="AF54" s="58"/>
      <c r="AG54" s="58"/>
      <c r="AH54" s="58"/>
      <c r="AI54" s="58"/>
      <c r="AJ54" s="58"/>
      <c r="AK54" s="58"/>
      <c r="AL54" s="58"/>
      <c r="AM54" s="58"/>
    </row>
    <row r="55" spans="1:39" s="14" customFormat="1" x14ac:dyDescent="0.35">
      <c r="A55" s="85"/>
      <c r="B55" s="15"/>
      <c r="D55" s="57"/>
      <c r="E55" s="16"/>
      <c r="F55" s="16"/>
      <c r="G55" s="16"/>
      <c r="H55" s="16"/>
      <c r="I55" s="16"/>
      <c r="J55" s="16"/>
      <c r="K55" s="15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58"/>
      <c r="Y55" s="58"/>
      <c r="Z55" s="58"/>
      <c r="AA55" s="58"/>
      <c r="AB55" s="58"/>
      <c r="AC55" s="58"/>
      <c r="AE55" s="58"/>
      <c r="AF55" s="58"/>
      <c r="AG55" s="58"/>
      <c r="AH55" s="58"/>
      <c r="AI55" s="58"/>
      <c r="AJ55" s="58"/>
      <c r="AK55" s="58"/>
      <c r="AL55" s="58"/>
      <c r="AM55" s="58"/>
    </row>
    <row r="56" spans="1:39" s="14" customFormat="1" x14ac:dyDescent="0.35">
      <c r="A56" s="85"/>
      <c r="B56" s="15"/>
      <c r="D56" s="57"/>
      <c r="E56" s="16"/>
      <c r="F56" s="16"/>
      <c r="G56" s="16"/>
      <c r="H56" s="16"/>
      <c r="I56" s="16"/>
      <c r="J56" s="16"/>
      <c r="K56" s="15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58"/>
      <c r="Y56" s="58"/>
      <c r="Z56" s="58"/>
      <c r="AA56" s="58"/>
      <c r="AB56" s="58"/>
      <c r="AC56" s="58"/>
      <c r="AE56" s="58"/>
      <c r="AF56" s="58"/>
      <c r="AG56" s="58"/>
      <c r="AH56" s="58"/>
      <c r="AI56" s="58"/>
      <c r="AJ56" s="58"/>
      <c r="AK56" s="58"/>
      <c r="AL56" s="58"/>
      <c r="AM56" s="58"/>
    </row>
    <row r="57" spans="1:39" s="14" customFormat="1" x14ac:dyDescent="0.35">
      <c r="A57" s="85"/>
      <c r="B57" s="15"/>
      <c r="D57" s="57"/>
      <c r="E57" s="16"/>
      <c r="F57" s="16"/>
      <c r="G57" s="16"/>
      <c r="H57" s="16"/>
      <c r="I57" s="16"/>
      <c r="J57" s="16"/>
      <c r="K57" s="15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58"/>
      <c r="Y57" s="58"/>
      <c r="Z57" s="58"/>
      <c r="AA57" s="58"/>
      <c r="AB57" s="58"/>
      <c r="AC57" s="58"/>
      <c r="AE57" s="58"/>
      <c r="AF57" s="58"/>
      <c r="AG57" s="58"/>
      <c r="AH57" s="58"/>
      <c r="AI57" s="58"/>
      <c r="AJ57" s="58"/>
      <c r="AK57" s="58"/>
      <c r="AL57" s="58"/>
      <c r="AM57" s="58"/>
    </row>
    <row r="58" spans="1:39" s="14" customFormat="1" x14ac:dyDescent="0.35">
      <c r="A58" s="85"/>
      <c r="B58" s="15"/>
      <c r="D58" s="57"/>
      <c r="E58" s="16"/>
      <c r="F58" s="16"/>
      <c r="G58" s="16"/>
      <c r="H58" s="16"/>
      <c r="I58" s="16"/>
      <c r="J58" s="16"/>
      <c r="K58" s="15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58"/>
      <c r="Y58" s="58"/>
      <c r="Z58" s="58"/>
      <c r="AA58" s="58"/>
      <c r="AB58" s="58"/>
      <c r="AC58" s="58"/>
      <c r="AE58" s="58"/>
      <c r="AF58" s="58"/>
      <c r="AG58" s="58"/>
      <c r="AH58" s="58"/>
      <c r="AI58" s="58"/>
      <c r="AJ58" s="58"/>
      <c r="AK58" s="58"/>
      <c r="AL58" s="58"/>
      <c r="AM58" s="58"/>
    </row>
    <row r="59" spans="1:39" s="14" customFormat="1" x14ac:dyDescent="0.35">
      <c r="A59" s="85"/>
      <c r="B59" s="15"/>
      <c r="D59" s="57"/>
      <c r="E59" s="16"/>
      <c r="F59" s="16"/>
      <c r="G59" s="16"/>
      <c r="H59" s="16"/>
      <c r="I59" s="16"/>
      <c r="J59" s="16"/>
      <c r="K59" s="15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58"/>
      <c r="Y59" s="58"/>
      <c r="Z59" s="58"/>
      <c r="AA59" s="58"/>
      <c r="AB59" s="58"/>
      <c r="AC59" s="58"/>
      <c r="AE59" s="58"/>
      <c r="AF59" s="58"/>
      <c r="AG59" s="58"/>
      <c r="AH59" s="58"/>
      <c r="AI59" s="58"/>
      <c r="AJ59" s="58"/>
      <c r="AK59" s="58"/>
      <c r="AL59" s="58"/>
      <c r="AM59" s="58"/>
    </row>
    <row r="60" spans="1:39" s="14" customFormat="1" x14ac:dyDescent="0.35">
      <c r="A60" s="85"/>
      <c r="B60" s="15"/>
      <c r="D60" s="57"/>
      <c r="E60" s="16"/>
      <c r="F60" s="16"/>
      <c r="G60" s="16"/>
      <c r="H60" s="16"/>
      <c r="I60" s="16"/>
      <c r="J60" s="16"/>
      <c r="K60" s="15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58"/>
      <c r="Y60" s="58"/>
      <c r="Z60" s="58"/>
      <c r="AA60" s="58"/>
      <c r="AB60" s="58"/>
      <c r="AC60" s="58"/>
      <c r="AE60" s="58"/>
      <c r="AF60" s="58"/>
      <c r="AG60" s="58"/>
      <c r="AH60" s="58"/>
      <c r="AI60" s="58"/>
      <c r="AJ60" s="58"/>
      <c r="AK60" s="58"/>
      <c r="AL60" s="58"/>
      <c r="AM60" s="58"/>
    </row>
    <row r="61" spans="1:39" s="14" customFormat="1" x14ac:dyDescent="0.35">
      <c r="A61" s="85"/>
      <c r="B61" s="15"/>
      <c r="D61" s="57"/>
      <c r="E61" s="16"/>
      <c r="F61" s="16"/>
      <c r="G61" s="16"/>
      <c r="H61" s="16"/>
      <c r="I61" s="16"/>
      <c r="J61" s="16"/>
      <c r="K61" s="15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58"/>
      <c r="Y61" s="58"/>
      <c r="Z61" s="58"/>
      <c r="AA61" s="58"/>
      <c r="AB61" s="58"/>
      <c r="AC61" s="58"/>
      <c r="AE61" s="58"/>
      <c r="AF61" s="58"/>
      <c r="AG61" s="58"/>
      <c r="AH61" s="58"/>
      <c r="AI61" s="58"/>
      <c r="AJ61" s="58"/>
      <c r="AK61" s="58"/>
      <c r="AL61" s="58"/>
      <c r="AM61" s="58"/>
    </row>
    <row r="62" spans="1:39" s="14" customFormat="1" x14ac:dyDescent="0.35">
      <c r="A62" s="85"/>
      <c r="B62" s="15"/>
      <c r="D62" s="57"/>
      <c r="E62" s="16"/>
      <c r="F62" s="16"/>
      <c r="G62" s="16"/>
      <c r="H62" s="16"/>
      <c r="I62" s="16"/>
      <c r="J62" s="16"/>
      <c r="K62" s="15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58"/>
      <c r="Y62" s="58"/>
      <c r="Z62" s="58"/>
      <c r="AA62" s="58"/>
      <c r="AB62" s="58"/>
      <c r="AC62" s="58"/>
      <c r="AE62" s="58"/>
      <c r="AF62" s="58"/>
      <c r="AG62" s="58"/>
      <c r="AH62" s="58"/>
      <c r="AI62" s="58"/>
      <c r="AJ62" s="58"/>
      <c r="AK62" s="58"/>
      <c r="AL62" s="58"/>
      <c r="AM62" s="58"/>
    </row>
    <row r="63" spans="1:39" s="14" customFormat="1" x14ac:dyDescent="0.35">
      <c r="A63" s="85"/>
      <c r="B63" s="15"/>
      <c r="D63" s="57"/>
      <c r="E63" s="16"/>
      <c r="F63" s="16"/>
      <c r="G63" s="16"/>
      <c r="H63" s="16"/>
      <c r="I63" s="16"/>
      <c r="J63" s="16"/>
      <c r="K63" s="15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58"/>
      <c r="Y63" s="58"/>
      <c r="Z63" s="58"/>
      <c r="AA63" s="58"/>
      <c r="AB63" s="58"/>
      <c r="AC63" s="58"/>
      <c r="AE63" s="58"/>
      <c r="AF63" s="58"/>
      <c r="AG63" s="58"/>
      <c r="AH63" s="58"/>
      <c r="AI63" s="58"/>
      <c r="AJ63" s="58"/>
      <c r="AK63" s="58"/>
      <c r="AL63" s="58"/>
      <c r="AM63" s="58"/>
    </row>
    <row r="64" spans="1:39" s="14" customFormat="1" x14ac:dyDescent="0.35">
      <c r="A64" s="85"/>
      <c r="B64" s="15"/>
      <c r="D64" s="57"/>
      <c r="E64" s="16"/>
      <c r="F64" s="16"/>
      <c r="G64" s="16"/>
      <c r="H64" s="16"/>
      <c r="I64" s="16"/>
      <c r="J64" s="16"/>
      <c r="K64" s="15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58"/>
      <c r="Y64" s="58"/>
      <c r="Z64" s="58"/>
      <c r="AA64" s="58"/>
      <c r="AB64" s="58"/>
      <c r="AC64" s="58"/>
      <c r="AE64" s="58"/>
      <c r="AF64" s="58"/>
      <c r="AG64" s="58"/>
      <c r="AH64" s="58"/>
      <c r="AI64" s="58"/>
      <c r="AJ64" s="58"/>
      <c r="AK64" s="58"/>
      <c r="AL64" s="58"/>
      <c r="AM64" s="58"/>
    </row>
    <row r="65" spans="1:39" s="14" customFormat="1" x14ac:dyDescent="0.35">
      <c r="A65" s="85"/>
      <c r="B65" s="15"/>
      <c r="D65" s="57"/>
      <c r="E65" s="16"/>
      <c r="F65" s="16"/>
      <c r="G65" s="16"/>
      <c r="H65" s="16"/>
      <c r="I65" s="16"/>
      <c r="J65" s="16"/>
      <c r="K65" s="15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58"/>
      <c r="Y65" s="58"/>
      <c r="Z65" s="58"/>
      <c r="AA65" s="58"/>
      <c r="AB65" s="58"/>
      <c r="AC65" s="58"/>
      <c r="AE65" s="58"/>
      <c r="AF65" s="58"/>
      <c r="AG65" s="58"/>
      <c r="AH65" s="58"/>
      <c r="AI65" s="58"/>
      <c r="AJ65" s="58"/>
      <c r="AK65" s="58"/>
      <c r="AL65" s="58"/>
      <c r="AM65" s="58"/>
    </row>
    <row r="66" spans="1:39" s="14" customFormat="1" x14ac:dyDescent="0.35">
      <c r="A66" s="85"/>
      <c r="B66" s="15"/>
      <c r="D66" s="57"/>
      <c r="E66" s="16"/>
      <c r="F66" s="16"/>
      <c r="G66" s="16"/>
      <c r="H66" s="16"/>
      <c r="I66" s="16"/>
      <c r="J66" s="16"/>
      <c r="K66" s="15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58"/>
      <c r="Y66" s="58"/>
      <c r="Z66" s="58"/>
      <c r="AA66" s="58"/>
      <c r="AB66" s="58"/>
      <c r="AC66" s="58"/>
      <c r="AE66" s="58"/>
      <c r="AF66" s="58"/>
      <c r="AG66" s="58"/>
      <c r="AH66" s="58"/>
      <c r="AI66" s="58"/>
      <c r="AJ66" s="58"/>
      <c r="AK66" s="58"/>
      <c r="AL66" s="58"/>
      <c r="AM66" s="58"/>
    </row>
    <row r="67" spans="1:39" s="14" customFormat="1" x14ac:dyDescent="0.35">
      <c r="A67" s="85"/>
      <c r="B67" s="15"/>
      <c r="D67" s="57"/>
      <c r="E67" s="16"/>
      <c r="F67" s="16"/>
      <c r="G67" s="16"/>
      <c r="H67" s="16"/>
      <c r="I67" s="16"/>
      <c r="J67" s="16"/>
      <c r="K67" s="15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58"/>
      <c r="Y67" s="58"/>
      <c r="Z67" s="58"/>
      <c r="AA67" s="58"/>
      <c r="AB67" s="58"/>
      <c r="AC67" s="58"/>
      <c r="AE67" s="58"/>
      <c r="AF67" s="58"/>
      <c r="AG67" s="58"/>
      <c r="AH67" s="58"/>
      <c r="AI67" s="58"/>
      <c r="AJ67" s="58"/>
      <c r="AK67" s="58"/>
      <c r="AL67" s="58"/>
      <c r="AM67" s="58"/>
    </row>
    <row r="68" spans="1:39" s="14" customFormat="1" x14ac:dyDescent="0.35">
      <c r="A68" s="85"/>
      <c r="B68" s="15"/>
      <c r="D68" s="57"/>
      <c r="E68" s="16"/>
      <c r="F68" s="16"/>
      <c r="G68" s="16"/>
      <c r="H68" s="16"/>
      <c r="I68" s="16"/>
      <c r="J68" s="16"/>
      <c r="K68" s="15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58"/>
      <c r="Y68" s="58"/>
      <c r="Z68" s="58"/>
      <c r="AA68" s="58"/>
      <c r="AB68" s="58"/>
      <c r="AC68" s="58"/>
      <c r="AE68" s="58"/>
      <c r="AF68" s="58"/>
      <c r="AG68" s="58"/>
      <c r="AH68" s="58"/>
      <c r="AI68" s="58"/>
      <c r="AJ68" s="58"/>
      <c r="AK68" s="58"/>
      <c r="AL68" s="58"/>
      <c r="AM68" s="58"/>
    </row>
    <row r="69" spans="1:39" s="14" customFormat="1" x14ac:dyDescent="0.35">
      <c r="A69" s="85"/>
      <c r="B69" s="15"/>
      <c r="D69" s="57"/>
      <c r="E69" s="16"/>
      <c r="F69" s="16"/>
      <c r="G69" s="16"/>
      <c r="H69" s="16"/>
      <c r="I69" s="16"/>
      <c r="J69" s="16"/>
      <c r="K69" s="15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58"/>
      <c r="Y69" s="58"/>
      <c r="Z69" s="58"/>
      <c r="AA69" s="58"/>
      <c r="AB69" s="58"/>
      <c r="AC69" s="58"/>
      <c r="AE69" s="58"/>
      <c r="AF69" s="58"/>
      <c r="AG69" s="58"/>
      <c r="AH69" s="58"/>
      <c r="AI69" s="58"/>
      <c r="AJ69" s="58"/>
      <c r="AK69" s="58"/>
      <c r="AL69" s="58"/>
      <c r="AM69" s="58"/>
    </row>
    <row r="70" spans="1:39" s="14" customFormat="1" x14ac:dyDescent="0.35">
      <c r="A70" s="85"/>
      <c r="B70" s="15"/>
      <c r="D70" s="57"/>
      <c r="E70" s="16"/>
      <c r="F70" s="16"/>
      <c r="G70" s="16"/>
      <c r="H70" s="16"/>
      <c r="I70" s="16"/>
      <c r="J70" s="16"/>
      <c r="K70" s="15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58"/>
      <c r="Y70" s="58"/>
      <c r="Z70" s="58"/>
      <c r="AA70" s="58"/>
      <c r="AB70" s="58"/>
      <c r="AC70" s="58"/>
      <c r="AE70" s="58"/>
      <c r="AF70" s="58"/>
      <c r="AG70" s="58"/>
      <c r="AH70" s="58"/>
      <c r="AI70" s="58"/>
      <c r="AJ70" s="58"/>
      <c r="AK70" s="58"/>
      <c r="AL70" s="58"/>
      <c r="AM70" s="58"/>
    </row>
    <row r="71" spans="1:39" s="14" customFormat="1" x14ac:dyDescent="0.35">
      <c r="A71" s="85"/>
      <c r="B71" s="15"/>
      <c r="D71" s="57"/>
      <c r="E71" s="16"/>
      <c r="F71" s="16"/>
      <c r="G71" s="16"/>
      <c r="H71" s="16"/>
      <c r="I71" s="16"/>
      <c r="J71" s="16"/>
      <c r="K71" s="15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58"/>
      <c r="Y71" s="58"/>
      <c r="Z71" s="58"/>
      <c r="AA71" s="58"/>
      <c r="AB71" s="58"/>
      <c r="AC71" s="58"/>
      <c r="AE71" s="58"/>
      <c r="AF71" s="58"/>
      <c r="AG71" s="58"/>
      <c r="AH71" s="58"/>
      <c r="AI71" s="58"/>
      <c r="AJ71" s="58"/>
      <c r="AK71" s="58"/>
      <c r="AL71" s="58"/>
      <c r="AM71" s="58"/>
    </row>
    <row r="72" spans="1:39" s="14" customFormat="1" x14ac:dyDescent="0.35">
      <c r="A72" s="85"/>
      <c r="B72" s="15"/>
      <c r="D72" s="57"/>
      <c r="E72" s="16"/>
      <c r="F72" s="16"/>
      <c r="G72" s="16"/>
      <c r="H72" s="16"/>
      <c r="I72" s="16"/>
      <c r="J72" s="16"/>
      <c r="K72" s="15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58"/>
      <c r="Y72" s="58"/>
      <c r="Z72" s="58"/>
      <c r="AA72" s="58"/>
      <c r="AB72" s="58"/>
      <c r="AC72" s="58"/>
      <c r="AE72" s="58"/>
      <c r="AF72" s="58"/>
      <c r="AG72" s="58"/>
      <c r="AH72" s="58"/>
      <c r="AI72" s="58"/>
      <c r="AJ72" s="58"/>
      <c r="AK72" s="58"/>
      <c r="AL72" s="58"/>
      <c r="AM72" s="58"/>
    </row>
    <row r="73" spans="1:39" s="14" customFormat="1" x14ac:dyDescent="0.35">
      <c r="A73" s="85"/>
      <c r="B73" s="15"/>
      <c r="D73" s="57"/>
      <c r="E73" s="16"/>
      <c r="F73" s="16"/>
      <c r="G73" s="16"/>
      <c r="H73" s="16"/>
      <c r="I73" s="16"/>
      <c r="J73" s="16"/>
      <c r="K73" s="15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58"/>
      <c r="Y73" s="58"/>
      <c r="Z73" s="58"/>
      <c r="AA73" s="58"/>
      <c r="AB73" s="58"/>
      <c r="AC73" s="58"/>
      <c r="AE73" s="58"/>
      <c r="AF73" s="58"/>
      <c r="AG73" s="58"/>
      <c r="AH73" s="58"/>
      <c r="AI73" s="58"/>
      <c r="AJ73" s="58"/>
      <c r="AK73" s="58"/>
      <c r="AL73" s="58"/>
      <c r="AM73" s="58"/>
    </row>
    <row r="74" spans="1:39" s="14" customFormat="1" x14ac:dyDescent="0.35">
      <c r="A74" s="85"/>
      <c r="B74" s="15"/>
      <c r="D74" s="57"/>
      <c r="E74" s="16"/>
      <c r="F74" s="16"/>
      <c r="G74" s="16"/>
      <c r="H74" s="16"/>
      <c r="I74" s="16"/>
      <c r="J74" s="16"/>
      <c r="K74" s="15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58"/>
      <c r="Y74" s="58"/>
      <c r="Z74" s="58"/>
      <c r="AA74" s="58"/>
      <c r="AB74" s="58"/>
      <c r="AC74" s="58"/>
      <c r="AE74" s="58"/>
      <c r="AF74" s="58"/>
      <c r="AG74" s="58"/>
      <c r="AH74" s="58"/>
      <c r="AI74" s="58"/>
      <c r="AJ74" s="58"/>
      <c r="AK74" s="58"/>
      <c r="AL74" s="58"/>
      <c r="AM74" s="58"/>
    </row>
    <row r="75" spans="1:39" s="14" customFormat="1" x14ac:dyDescent="0.35">
      <c r="A75" s="85"/>
      <c r="B75" s="15"/>
      <c r="D75" s="57"/>
      <c r="E75" s="16"/>
      <c r="F75" s="16"/>
      <c r="G75" s="16"/>
      <c r="H75" s="16"/>
      <c r="I75" s="16"/>
      <c r="J75" s="16"/>
      <c r="K75" s="15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58"/>
      <c r="Y75" s="58"/>
      <c r="Z75" s="58"/>
      <c r="AA75" s="58"/>
      <c r="AB75" s="58"/>
      <c r="AC75" s="58"/>
      <c r="AE75" s="58"/>
      <c r="AF75" s="58"/>
      <c r="AG75" s="58"/>
      <c r="AH75" s="58"/>
      <c r="AI75" s="58"/>
      <c r="AJ75" s="58"/>
      <c r="AK75" s="58"/>
      <c r="AL75" s="58"/>
      <c r="AM75" s="58"/>
    </row>
    <row r="76" spans="1:39" s="14" customFormat="1" x14ac:dyDescent="0.35">
      <c r="A76" s="85"/>
      <c r="B76" s="15"/>
      <c r="D76" s="57"/>
      <c r="E76" s="16"/>
      <c r="F76" s="16"/>
      <c r="G76" s="16"/>
      <c r="H76" s="16"/>
      <c r="I76" s="16"/>
      <c r="J76" s="16"/>
      <c r="K76" s="15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58"/>
      <c r="Y76" s="58"/>
      <c r="Z76" s="58"/>
      <c r="AA76" s="58"/>
      <c r="AB76" s="58"/>
      <c r="AC76" s="58"/>
      <c r="AE76" s="58"/>
      <c r="AF76" s="58"/>
      <c r="AG76" s="58"/>
      <c r="AH76" s="58"/>
      <c r="AI76" s="58"/>
      <c r="AJ76" s="58"/>
      <c r="AK76" s="58"/>
      <c r="AL76" s="58"/>
      <c r="AM76" s="58"/>
    </row>
    <row r="77" spans="1:39" s="14" customFormat="1" x14ac:dyDescent="0.35">
      <c r="A77" s="85"/>
      <c r="B77" s="15"/>
      <c r="D77" s="57"/>
      <c r="E77" s="16"/>
      <c r="F77" s="16"/>
      <c r="G77" s="16"/>
      <c r="H77" s="16"/>
      <c r="I77" s="16"/>
      <c r="J77" s="16"/>
      <c r="K77" s="15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58"/>
      <c r="Y77" s="58"/>
      <c r="Z77" s="58"/>
      <c r="AA77" s="58"/>
      <c r="AB77" s="58"/>
      <c r="AC77" s="58"/>
      <c r="AE77" s="58"/>
      <c r="AF77" s="58"/>
      <c r="AG77" s="58"/>
      <c r="AH77" s="58"/>
      <c r="AI77" s="58"/>
      <c r="AJ77" s="58"/>
      <c r="AK77" s="58"/>
      <c r="AL77" s="58"/>
      <c r="AM77" s="58"/>
    </row>
    <row r="78" spans="1:39" s="14" customFormat="1" x14ac:dyDescent="0.35">
      <c r="A78" s="85"/>
      <c r="B78" s="15"/>
      <c r="D78" s="57"/>
      <c r="E78" s="16"/>
      <c r="F78" s="16"/>
      <c r="G78" s="16"/>
      <c r="H78" s="16"/>
      <c r="I78" s="16"/>
      <c r="J78" s="16"/>
      <c r="K78" s="15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58"/>
      <c r="Y78" s="58"/>
      <c r="Z78" s="58"/>
      <c r="AA78" s="58"/>
      <c r="AB78" s="58"/>
      <c r="AC78" s="58"/>
      <c r="AE78" s="58"/>
      <c r="AF78" s="58"/>
      <c r="AG78" s="58"/>
      <c r="AH78" s="58"/>
      <c r="AI78" s="58"/>
      <c r="AJ78" s="58"/>
      <c r="AK78" s="58"/>
      <c r="AL78" s="58"/>
      <c r="AM78" s="58"/>
    </row>
    <row r="79" spans="1:39" s="14" customFormat="1" x14ac:dyDescent="0.35">
      <c r="A79" s="85"/>
      <c r="B79" s="15"/>
      <c r="D79" s="57"/>
      <c r="E79" s="16"/>
      <c r="F79" s="16"/>
      <c r="G79" s="16"/>
      <c r="H79" s="16"/>
      <c r="I79" s="16"/>
      <c r="J79" s="16"/>
      <c r="K79" s="15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58"/>
      <c r="Y79" s="58"/>
      <c r="Z79" s="58"/>
      <c r="AA79" s="58"/>
      <c r="AB79" s="58"/>
      <c r="AC79" s="58"/>
      <c r="AE79" s="58"/>
      <c r="AF79" s="58"/>
      <c r="AG79" s="58"/>
      <c r="AH79" s="58"/>
      <c r="AI79" s="58"/>
      <c r="AJ79" s="58"/>
      <c r="AK79" s="58"/>
      <c r="AL79" s="58"/>
      <c r="AM79" s="58"/>
    </row>
    <row r="80" spans="1:39" s="14" customFormat="1" x14ac:dyDescent="0.35">
      <c r="A80" s="85"/>
      <c r="B80" s="15"/>
      <c r="D80" s="57"/>
      <c r="E80" s="16"/>
      <c r="F80" s="16"/>
      <c r="G80" s="16"/>
      <c r="H80" s="16"/>
      <c r="I80" s="16"/>
      <c r="J80" s="16"/>
      <c r="K80" s="15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58"/>
      <c r="Y80" s="58"/>
      <c r="Z80" s="58"/>
      <c r="AA80" s="58"/>
      <c r="AB80" s="58"/>
      <c r="AC80" s="58"/>
      <c r="AE80" s="58"/>
      <c r="AF80" s="58"/>
      <c r="AG80" s="58"/>
      <c r="AH80" s="58"/>
      <c r="AI80" s="58"/>
      <c r="AJ80" s="58"/>
      <c r="AK80" s="58"/>
      <c r="AL80" s="58"/>
      <c r="AM80" s="58"/>
    </row>
    <row r="81" spans="1:39" s="14" customFormat="1" x14ac:dyDescent="0.35">
      <c r="A81" s="85"/>
      <c r="B81" s="15"/>
      <c r="D81" s="57"/>
      <c r="E81" s="16"/>
      <c r="F81" s="16"/>
      <c r="G81" s="16"/>
      <c r="H81" s="16"/>
      <c r="I81" s="16"/>
      <c r="J81" s="16"/>
      <c r="K81" s="15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58"/>
      <c r="Y81" s="58"/>
      <c r="Z81" s="58"/>
      <c r="AA81" s="58"/>
      <c r="AB81" s="58"/>
      <c r="AC81" s="58"/>
      <c r="AE81" s="58"/>
      <c r="AF81" s="58"/>
      <c r="AG81" s="58"/>
      <c r="AH81" s="58"/>
      <c r="AI81" s="58"/>
      <c r="AJ81" s="58"/>
      <c r="AK81" s="58"/>
      <c r="AL81" s="58"/>
      <c r="AM81" s="58"/>
    </row>
    <row r="82" spans="1:39" s="14" customFormat="1" x14ac:dyDescent="0.35">
      <c r="A82" s="85"/>
      <c r="B82" s="15"/>
      <c r="D82" s="57"/>
      <c r="E82" s="16"/>
      <c r="F82" s="16"/>
      <c r="G82" s="16"/>
      <c r="H82" s="16"/>
      <c r="I82" s="16"/>
      <c r="J82" s="16"/>
      <c r="K82" s="15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58"/>
      <c r="Y82" s="58"/>
      <c r="Z82" s="58"/>
      <c r="AA82" s="58"/>
      <c r="AB82" s="58"/>
      <c r="AC82" s="58"/>
      <c r="AE82" s="58"/>
      <c r="AF82" s="58"/>
      <c r="AG82" s="58"/>
      <c r="AH82" s="58"/>
      <c r="AI82" s="58"/>
      <c r="AJ82" s="58"/>
      <c r="AK82" s="58"/>
      <c r="AL82" s="58"/>
      <c r="AM82" s="58"/>
    </row>
    <row r="83" spans="1:39" s="14" customFormat="1" x14ac:dyDescent="0.35">
      <c r="A83" s="85"/>
      <c r="B83" s="15"/>
      <c r="D83" s="57"/>
      <c r="E83" s="16"/>
      <c r="F83" s="16"/>
      <c r="G83" s="16"/>
      <c r="H83" s="16"/>
      <c r="I83" s="16"/>
      <c r="J83" s="16"/>
      <c r="K83" s="15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58"/>
      <c r="Y83" s="58"/>
      <c r="Z83" s="58"/>
      <c r="AA83" s="58"/>
      <c r="AB83" s="58"/>
      <c r="AC83" s="58"/>
      <c r="AE83" s="58"/>
      <c r="AF83" s="58"/>
      <c r="AG83" s="58"/>
      <c r="AH83" s="58"/>
      <c r="AI83" s="58"/>
      <c r="AJ83" s="58"/>
      <c r="AK83" s="58"/>
      <c r="AL83" s="58"/>
      <c r="AM83" s="58"/>
    </row>
    <row r="84" spans="1:39" s="14" customFormat="1" x14ac:dyDescent="0.35">
      <c r="A84" s="85"/>
      <c r="B84" s="15"/>
      <c r="D84" s="57"/>
      <c r="E84" s="16"/>
      <c r="F84" s="16"/>
      <c r="G84" s="16"/>
      <c r="H84" s="16"/>
      <c r="I84" s="16"/>
      <c r="J84" s="16"/>
      <c r="K84" s="15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58"/>
      <c r="Y84" s="58"/>
      <c r="Z84" s="58"/>
      <c r="AA84" s="58"/>
      <c r="AB84" s="58"/>
      <c r="AC84" s="58"/>
      <c r="AE84" s="58"/>
      <c r="AF84" s="58"/>
      <c r="AG84" s="58"/>
      <c r="AH84" s="58"/>
      <c r="AI84" s="58"/>
      <c r="AJ84" s="58"/>
      <c r="AK84" s="58"/>
      <c r="AL84" s="58"/>
      <c r="AM84" s="58"/>
    </row>
    <row r="85" spans="1:39" s="14" customFormat="1" x14ac:dyDescent="0.35">
      <c r="A85" s="85"/>
      <c r="B85" s="15"/>
      <c r="D85" s="15"/>
      <c r="E85" s="59"/>
      <c r="F85" s="59"/>
      <c r="G85" s="59"/>
      <c r="H85" s="59"/>
      <c r="I85" s="59"/>
      <c r="J85" s="59"/>
      <c r="K85" s="15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58"/>
      <c r="Y85" s="58"/>
      <c r="Z85" s="58"/>
      <c r="AA85" s="58"/>
      <c r="AB85" s="58"/>
      <c r="AC85" s="58"/>
      <c r="AE85" s="58"/>
      <c r="AF85" s="58"/>
      <c r="AG85" s="58"/>
      <c r="AH85" s="58"/>
      <c r="AI85" s="58"/>
      <c r="AJ85" s="58"/>
      <c r="AK85" s="58"/>
      <c r="AL85" s="58"/>
      <c r="AM85" s="58"/>
    </row>
  </sheetData>
  <autoFilter ref="A4:AM44" xr:uid="{C8E0EEC6-40AA-4F46-AEDF-619CF91E4E89}">
    <sortState xmlns:xlrd2="http://schemas.microsoft.com/office/spreadsheetml/2017/richdata2" ref="A5:AM44">
      <sortCondition ref="B4:B44"/>
    </sortState>
  </autoFilter>
  <mergeCells count="5">
    <mergeCell ref="AE2:AJ2"/>
    <mergeCell ref="E2:J2"/>
    <mergeCell ref="L2:W2"/>
    <mergeCell ref="X2:AC2"/>
    <mergeCell ref="C1:D2"/>
  </mergeCells>
  <conditionalFormatting sqref="L5:AC84">
    <cfRule type="cellIs" dxfId="9" priority="12" operator="equal">
      <formula>"B"</formula>
    </cfRule>
    <cfRule type="cellIs" dxfId="8" priority="13" operator="equal">
      <formula>"S"</formula>
    </cfRule>
    <cfRule type="cellIs" dxfId="5" priority="14" operator="equal">
      <formula>"N"</formula>
    </cfRule>
  </conditionalFormatting>
  <conditionalFormatting sqref="A5:AM84">
    <cfRule type="expression" dxfId="7" priority="30">
      <formula>$A5&lt;&gt;""</formula>
    </cfRule>
    <cfRule type="expression" dxfId="6" priority="31">
      <formula>$AK5=TRUE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1.Update_Time">
                <anchor moveWithCells="1" sizeWithCells="1">
                  <from>
                    <xdr:col>10</xdr:col>
                    <xdr:colOff>1828800</xdr:colOff>
                    <xdr:row>0</xdr:row>
                    <xdr:rowOff>66675</xdr:rowOff>
                  </from>
                  <to>
                    <xdr:col>14</xdr:col>
                    <xdr:colOff>76200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CD779-212C-4FCD-8DFE-699CD1FF1B3D}">
  <sheetPr codeName="Sheet6"/>
  <dimension ref="B2:F33"/>
  <sheetViews>
    <sheetView workbookViewId="0">
      <selection activeCell="E17" sqref="E17"/>
    </sheetView>
  </sheetViews>
  <sheetFormatPr defaultRowHeight="16.5" x14ac:dyDescent="0.3"/>
  <cols>
    <col min="1" max="1" width="9.140625" style="1"/>
    <col min="2" max="2" width="24.7109375" style="1" bestFit="1" customWidth="1"/>
    <col min="3" max="3" width="13.7109375" style="67" bestFit="1" customWidth="1"/>
    <col min="4" max="4" width="9.140625" style="1"/>
    <col min="5" max="5" width="19.85546875" style="1" bestFit="1" customWidth="1"/>
    <col min="6" max="6" width="13.7109375" style="61" bestFit="1" customWidth="1"/>
    <col min="7" max="16384" width="9.140625" style="1"/>
  </cols>
  <sheetData>
    <row r="2" spans="2:6" ht="21" x14ac:dyDescent="0.4">
      <c r="B2" s="60" t="s">
        <v>381</v>
      </c>
      <c r="C2" s="62" t="s">
        <v>439</v>
      </c>
      <c r="E2" s="60" t="s">
        <v>395</v>
      </c>
      <c r="F2" s="63" t="s">
        <v>439</v>
      </c>
    </row>
    <row r="3" spans="2:6" x14ac:dyDescent="0.3">
      <c r="B3" s="64" t="s">
        <v>354</v>
      </c>
      <c r="C3" s="65"/>
      <c r="E3" s="64" t="s">
        <v>390</v>
      </c>
      <c r="F3" s="66"/>
    </row>
    <row r="4" spans="2:6" x14ac:dyDescent="0.3">
      <c r="B4" s="64" t="s">
        <v>365</v>
      </c>
      <c r="C4" s="65"/>
      <c r="E4" s="64" t="s">
        <v>384</v>
      </c>
      <c r="F4" s="66"/>
    </row>
    <row r="5" spans="2:6" x14ac:dyDescent="0.3">
      <c r="B5" s="64" t="s">
        <v>368</v>
      </c>
      <c r="C5" s="65" t="s">
        <v>442</v>
      </c>
      <c r="E5" s="64" t="s">
        <v>385</v>
      </c>
      <c r="F5" s="66"/>
    </row>
    <row r="6" spans="2:6" x14ac:dyDescent="0.3">
      <c r="B6" s="64" t="s">
        <v>356</v>
      </c>
      <c r="C6" s="65" t="s">
        <v>443</v>
      </c>
      <c r="E6" s="64" t="s">
        <v>387</v>
      </c>
      <c r="F6" s="66" t="s">
        <v>440</v>
      </c>
    </row>
    <row r="7" spans="2:6" x14ac:dyDescent="0.3">
      <c r="B7" s="64" t="s">
        <v>371</v>
      </c>
      <c r="C7" s="65" t="s">
        <v>444</v>
      </c>
      <c r="E7" s="64" t="s">
        <v>394</v>
      </c>
      <c r="F7" s="66"/>
    </row>
    <row r="8" spans="2:6" x14ac:dyDescent="0.3">
      <c r="B8" s="64" t="s">
        <v>380</v>
      </c>
      <c r="C8" s="65" t="s">
        <v>445</v>
      </c>
      <c r="E8" s="64" t="s">
        <v>388</v>
      </c>
      <c r="F8" s="66"/>
    </row>
    <row r="9" spans="2:6" x14ac:dyDescent="0.3">
      <c r="B9" s="64" t="s">
        <v>362</v>
      </c>
      <c r="C9" s="65" t="s">
        <v>446</v>
      </c>
      <c r="E9" s="64" t="s">
        <v>383</v>
      </c>
      <c r="F9" s="66"/>
    </row>
    <row r="10" spans="2:6" x14ac:dyDescent="0.3">
      <c r="B10" s="64" t="s">
        <v>360</v>
      </c>
      <c r="C10" s="65"/>
      <c r="E10" s="64" t="s">
        <v>393</v>
      </c>
      <c r="F10" s="66"/>
    </row>
    <row r="11" spans="2:6" x14ac:dyDescent="0.3">
      <c r="B11" s="64" t="s">
        <v>357</v>
      </c>
      <c r="C11" s="65">
        <v>1</v>
      </c>
      <c r="E11" s="64" t="s">
        <v>386</v>
      </c>
      <c r="F11" s="66"/>
    </row>
    <row r="12" spans="2:6" x14ac:dyDescent="0.3">
      <c r="B12" s="64" t="s">
        <v>370</v>
      </c>
      <c r="C12" s="65"/>
      <c r="E12" s="64" t="s">
        <v>389</v>
      </c>
      <c r="F12" s="66"/>
    </row>
    <row r="13" spans="2:6" x14ac:dyDescent="0.3">
      <c r="B13" s="64" t="s">
        <v>355</v>
      </c>
      <c r="C13" s="65"/>
      <c r="E13" s="64" t="s">
        <v>391</v>
      </c>
      <c r="F13" s="66"/>
    </row>
    <row r="14" spans="2:6" x14ac:dyDescent="0.3">
      <c r="B14" s="64" t="s">
        <v>358</v>
      </c>
      <c r="C14" s="65"/>
      <c r="E14" s="64" t="s">
        <v>392</v>
      </c>
      <c r="F14" s="66"/>
    </row>
    <row r="15" spans="2:6" x14ac:dyDescent="0.3">
      <c r="B15" s="64" t="s">
        <v>359</v>
      </c>
      <c r="C15" s="65"/>
      <c r="E15" s="64" t="s">
        <v>382</v>
      </c>
      <c r="F15" s="66"/>
    </row>
    <row r="16" spans="2:6" x14ac:dyDescent="0.3">
      <c r="B16" s="64" t="s">
        <v>364</v>
      </c>
      <c r="C16" s="65"/>
      <c r="E16" s="61"/>
    </row>
    <row r="17" spans="2:3" x14ac:dyDescent="0.3">
      <c r="B17" s="64" t="s">
        <v>375</v>
      </c>
      <c r="C17" s="65"/>
    </row>
    <row r="18" spans="2:3" x14ac:dyDescent="0.3">
      <c r="B18" s="64" t="s">
        <v>373</v>
      </c>
      <c r="C18" s="65"/>
    </row>
    <row r="19" spans="2:3" x14ac:dyDescent="0.3">
      <c r="B19" s="64" t="s">
        <v>377</v>
      </c>
      <c r="C19" s="65"/>
    </row>
    <row r="20" spans="2:3" x14ac:dyDescent="0.3">
      <c r="B20" s="64" t="s">
        <v>374</v>
      </c>
      <c r="C20" s="65"/>
    </row>
    <row r="21" spans="2:3" x14ac:dyDescent="0.3">
      <c r="B21" s="64" t="s">
        <v>366</v>
      </c>
      <c r="C21" s="65"/>
    </row>
    <row r="22" spans="2:3" x14ac:dyDescent="0.3">
      <c r="B22" s="64" t="s">
        <v>361</v>
      </c>
      <c r="C22" s="65"/>
    </row>
    <row r="23" spans="2:3" x14ac:dyDescent="0.3">
      <c r="B23" s="64" t="s">
        <v>363</v>
      </c>
      <c r="C23" s="65"/>
    </row>
    <row r="24" spans="2:3" x14ac:dyDescent="0.3">
      <c r="B24" s="64" t="s">
        <v>351</v>
      </c>
      <c r="C24" s="65"/>
    </row>
    <row r="25" spans="2:3" x14ac:dyDescent="0.3">
      <c r="B25" s="64" t="s">
        <v>372</v>
      </c>
      <c r="C25" s="65"/>
    </row>
    <row r="26" spans="2:3" x14ac:dyDescent="0.3">
      <c r="B26" s="64" t="s">
        <v>367</v>
      </c>
      <c r="C26" s="65"/>
    </row>
    <row r="27" spans="2:3" x14ac:dyDescent="0.3">
      <c r="B27" s="64" t="s">
        <v>376</v>
      </c>
      <c r="C27" s="65"/>
    </row>
    <row r="28" spans="2:3" x14ac:dyDescent="0.3">
      <c r="B28" s="64" t="s">
        <v>352</v>
      </c>
      <c r="C28" s="65"/>
    </row>
    <row r="29" spans="2:3" x14ac:dyDescent="0.3">
      <c r="B29" s="64" t="s">
        <v>378</v>
      </c>
      <c r="C29" s="65"/>
    </row>
    <row r="30" spans="2:3" x14ac:dyDescent="0.3">
      <c r="B30" s="64" t="s">
        <v>379</v>
      </c>
      <c r="C30" s="65"/>
    </row>
    <row r="31" spans="2:3" x14ac:dyDescent="0.3">
      <c r="B31" s="64" t="s">
        <v>353</v>
      </c>
      <c r="C31" s="65"/>
    </row>
    <row r="32" spans="2:3" x14ac:dyDescent="0.3">
      <c r="B32" s="64" t="s">
        <v>369</v>
      </c>
      <c r="C32" s="65"/>
    </row>
    <row r="33" spans="2:2" x14ac:dyDescent="0.3">
      <c r="B33" s="61"/>
    </row>
  </sheetData>
  <conditionalFormatting sqref="B3:C32">
    <cfRule type="expression" dxfId="31" priority="2">
      <formula>$C3&lt;&gt;""</formula>
    </cfRule>
  </conditionalFormatting>
  <conditionalFormatting sqref="E3:F15">
    <cfRule type="expression" dxfId="30" priority="1">
      <formula>+$F3&lt;&gt;""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A17D-1F8B-4760-A827-F67D4E527EC2}">
  <sheetPr codeName="Sheet2"/>
  <dimension ref="A1:K25"/>
  <sheetViews>
    <sheetView workbookViewId="0">
      <selection activeCell="I4" sqref="I4"/>
    </sheetView>
  </sheetViews>
  <sheetFormatPr defaultRowHeight="15" x14ac:dyDescent="0.25"/>
  <cols>
    <col min="1" max="1" width="11.85546875" bestFit="1" customWidth="1"/>
    <col min="2" max="2" width="3" bestFit="1" customWidth="1"/>
    <col min="3" max="3" width="10.85546875" bestFit="1" customWidth="1"/>
    <col min="4" max="4" width="3" bestFit="1" customWidth="1"/>
    <col min="5" max="5" width="3" style="71" bestFit="1" customWidth="1"/>
    <col min="6" max="6" width="17.7109375" bestFit="1" customWidth="1"/>
    <col min="7" max="7" width="5.5703125" bestFit="1" customWidth="1"/>
    <col min="11" max="11" width="10.5703125" bestFit="1" customWidth="1"/>
  </cols>
  <sheetData>
    <row r="1" spans="1:11" x14ac:dyDescent="0.25">
      <c r="A1" t="s">
        <v>396</v>
      </c>
      <c r="B1" t="s">
        <v>441</v>
      </c>
      <c r="C1" t="s">
        <v>295</v>
      </c>
      <c r="F1" t="s">
        <v>150</v>
      </c>
    </row>
    <row r="2" spans="1:11" x14ac:dyDescent="0.25">
      <c r="A2" t="s">
        <v>290</v>
      </c>
      <c r="B2">
        <v>1</v>
      </c>
      <c r="C2" t="s">
        <v>398</v>
      </c>
      <c r="D2">
        <v>1</v>
      </c>
      <c r="E2" s="87">
        <v>0</v>
      </c>
      <c r="F2" s="72" t="s">
        <v>414</v>
      </c>
      <c r="G2" s="70">
        <v>2.0833333333333332E-2</v>
      </c>
      <c r="I2" s="72"/>
      <c r="K2" s="71"/>
    </row>
    <row r="3" spans="1:11" x14ac:dyDescent="0.25">
      <c r="A3" t="s">
        <v>397</v>
      </c>
      <c r="B3">
        <v>2</v>
      </c>
      <c r="C3" t="s">
        <v>399</v>
      </c>
      <c r="D3">
        <v>2</v>
      </c>
      <c r="E3">
        <v>1</v>
      </c>
      <c r="F3" s="72" t="s">
        <v>415</v>
      </c>
      <c r="G3" s="70">
        <v>6.25E-2</v>
      </c>
    </row>
    <row r="4" spans="1:11" x14ac:dyDescent="0.25">
      <c r="B4">
        <v>3</v>
      </c>
      <c r="C4" t="s">
        <v>400</v>
      </c>
      <c r="D4">
        <v>3</v>
      </c>
      <c r="E4">
        <v>2</v>
      </c>
      <c r="F4" s="72" t="s">
        <v>416</v>
      </c>
      <c r="G4" s="70">
        <v>0.104166666666667</v>
      </c>
    </row>
    <row r="5" spans="1:11" x14ac:dyDescent="0.25">
      <c r="B5">
        <v>4</v>
      </c>
      <c r="C5" t="s">
        <v>401</v>
      </c>
      <c r="D5">
        <v>4</v>
      </c>
      <c r="E5">
        <v>3</v>
      </c>
      <c r="F5" s="72" t="s">
        <v>417</v>
      </c>
      <c r="G5" s="70">
        <v>0.14583333333333301</v>
      </c>
    </row>
    <row r="6" spans="1:11" x14ac:dyDescent="0.25">
      <c r="B6">
        <v>5</v>
      </c>
      <c r="C6" t="s">
        <v>402</v>
      </c>
      <c r="D6">
        <v>5</v>
      </c>
      <c r="E6">
        <v>4</v>
      </c>
      <c r="F6" s="72" t="s">
        <v>418</v>
      </c>
      <c r="G6" s="70">
        <v>0.1875</v>
      </c>
    </row>
    <row r="7" spans="1:11" x14ac:dyDescent="0.25">
      <c r="B7">
        <v>6</v>
      </c>
      <c r="C7" t="s">
        <v>403</v>
      </c>
      <c r="D7">
        <v>6</v>
      </c>
      <c r="E7">
        <v>5</v>
      </c>
      <c r="F7" s="72" t="s">
        <v>419</v>
      </c>
      <c r="G7" s="70">
        <v>0.22916666666666699</v>
      </c>
    </row>
    <row r="8" spans="1:11" x14ac:dyDescent="0.25">
      <c r="B8">
        <v>7</v>
      </c>
      <c r="C8" t="s">
        <v>404</v>
      </c>
      <c r="D8">
        <v>7</v>
      </c>
      <c r="E8">
        <v>6</v>
      </c>
      <c r="F8" s="72" t="s">
        <v>420</v>
      </c>
      <c r="G8" s="70">
        <v>0.27083333333333298</v>
      </c>
    </row>
    <row r="9" spans="1:11" x14ac:dyDescent="0.25">
      <c r="B9">
        <v>8</v>
      </c>
      <c r="C9" t="s">
        <v>405</v>
      </c>
      <c r="D9">
        <v>8</v>
      </c>
      <c r="E9">
        <v>7</v>
      </c>
      <c r="F9" s="72" t="s">
        <v>421</v>
      </c>
      <c r="G9" s="70">
        <v>0.3125</v>
      </c>
    </row>
    <row r="10" spans="1:11" x14ac:dyDescent="0.25">
      <c r="B10">
        <v>9</v>
      </c>
      <c r="C10" t="s">
        <v>406</v>
      </c>
      <c r="D10">
        <v>9</v>
      </c>
      <c r="E10">
        <v>8</v>
      </c>
      <c r="F10" s="72" t="s">
        <v>422</v>
      </c>
      <c r="G10" s="70">
        <v>0.35416666666666702</v>
      </c>
    </row>
    <row r="11" spans="1:11" x14ac:dyDescent="0.25">
      <c r="B11">
        <v>10</v>
      </c>
      <c r="C11" t="s">
        <v>407</v>
      </c>
      <c r="D11">
        <v>10</v>
      </c>
      <c r="E11">
        <v>9</v>
      </c>
      <c r="F11" s="72" t="s">
        <v>423</v>
      </c>
      <c r="G11" s="70">
        <v>0.39583333333333298</v>
      </c>
    </row>
    <row r="12" spans="1:11" x14ac:dyDescent="0.25">
      <c r="B12">
        <v>11</v>
      </c>
      <c r="C12" t="s">
        <v>408</v>
      </c>
      <c r="D12">
        <v>11</v>
      </c>
      <c r="E12">
        <v>10</v>
      </c>
      <c r="F12" s="72" t="s">
        <v>412</v>
      </c>
      <c r="G12" s="70">
        <v>0.4375</v>
      </c>
    </row>
    <row r="13" spans="1:11" x14ac:dyDescent="0.25">
      <c r="B13">
        <v>12</v>
      </c>
      <c r="C13" t="s">
        <v>409</v>
      </c>
      <c r="D13">
        <v>12</v>
      </c>
      <c r="E13">
        <v>11</v>
      </c>
      <c r="F13" s="72" t="s">
        <v>413</v>
      </c>
      <c r="G13" s="70">
        <v>0.47916666666666702</v>
      </c>
    </row>
    <row r="14" spans="1:11" x14ac:dyDescent="0.25">
      <c r="E14">
        <v>12</v>
      </c>
      <c r="F14" s="72" t="s">
        <v>424</v>
      </c>
      <c r="G14" s="70">
        <v>0.52083333333333304</v>
      </c>
    </row>
    <row r="15" spans="1:11" x14ac:dyDescent="0.25">
      <c r="E15">
        <v>13</v>
      </c>
      <c r="F15" s="72" t="s">
        <v>425</v>
      </c>
      <c r="G15" s="70">
        <v>0.5625</v>
      </c>
    </row>
    <row r="16" spans="1:11" x14ac:dyDescent="0.25">
      <c r="E16">
        <v>14</v>
      </c>
      <c r="F16" s="72" t="s">
        <v>426</v>
      </c>
      <c r="G16" s="70">
        <v>0.60416666666666696</v>
      </c>
    </row>
    <row r="17" spans="5:7" x14ac:dyDescent="0.25">
      <c r="E17">
        <v>15</v>
      </c>
      <c r="F17" s="72" t="s">
        <v>427</v>
      </c>
      <c r="G17" s="70">
        <v>0.64583333333333304</v>
      </c>
    </row>
    <row r="18" spans="5:7" x14ac:dyDescent="0.25">
      <c r="E18">
        <v>16</v>
      </c>
      <c r="F18" s="72" t="s">
        <v>428</v>
      </c>
      <c r="G18" s="70">
        <v>0.6875</v>
      </c>
    </row>
    <row r="19" spans="5:7" x14ac:dyDescent="0.25">
      <c r="E19">
        <v>17</v>
      </c>
      <c r="F19" s="72" t="s">
        <v>429</v>
      </c>
      <c r="G19" s="70">
        <v>0.72916666666666696</v>
      </c>
    </row>
    <row r="20" spans="5:7" x14ac:dyDescent="0.25">
      <c r="E20">
        <v>18</v>
      </c>
      <c r="F20" s="72" t="s">
        <v>430</v>
      </c>
      <c r="G20" s="70">
        <v>0.77083333333333304</v>
      </c>
    </row>
    <row r="21" spans="5:7" x14ac:dyDescent="0.25">
      <c r="E21">
        <v>19</v>
      </c>
      <c r="F21" s="72" t="s">
        <v>431</v>
      </c>
      <c r="G21" s="70">
        <v>0.8125</v>
      </c>
    </row>
    <row r="22" spans="5:7" x14ac:dyDescent="0.25">
      <c r="E22">
        <v>20</v>
      </c>
      <c r="F22" s="72" t="s">
        <v>432</v>
      </c>
      <c r="G22" s="70">
        <v>0.85416666666666696</v>
      </c>
    </row>
    <row r="23" spans="5:7" x14ac:dyDescent="0.25">
      <c r="E23">
        <v>21</v>
      </c>
      <c r="F23" s="72" t="s">
        <v>433</v>
      </c>
      <c r="G23" s="70">
        <v>0.89583333333333304</v>
      </c>
    </row>
    <row r="24" spans="5:7" x14ac:dyDescent="0.25">
      <c r="E24">
        <v>22</v>
      </c>
      <c r="F24" s="72" t="s">
        <v>434</v>
      </c>
      <c r="G24" s="70">
        <v>0.9375</v>
      </c>
    </row>
    <row r="25" spans="5:7" x14ac:dyDescent="0.25">
      <c r="E25">
        <v>23</v>
      </c>
      <c r="F25" s="72" t="s">
        <v>435</v>
      </c>
      <c r="G25" s="70">
        <v>0.97916666666666696</v>
      </c>
    </row>
  </sheetData>
  <phoneticPr fontId="1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Welcome</vt:lpstr>
      <vt:lpstr>Bugs</vt:lpstr>
      <vt:lpstr>Fish</vt:lpstr>
      <vt:lpstr>Sea Creatures</vt:lpstr>
      <vt:lpstr>Art</vt:lpstr>
      <vt:lpstr>Dropdowns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Happyful</dc:creator>
  <cp:lastModifiedBy>Happyful</cp:lastModifiedBy>
  <dcterms:created xsi:type="dcterms:W3CDTF">2020-07-18T17:58:47Z</dcterms:created>
  <dcterms:modified xsi:type="dcterms:W3CDTF">2021-11-23T19:33:57Z</dcterms:modified>
</cp:coreProperties>
</file>